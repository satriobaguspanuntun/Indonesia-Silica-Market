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defaultThemeVersion="124226"/>
  <mc:AlternateContent xmlns:mc="http://schemas.openxmlformats.org/markup-compatibility/2006">
    <mc:Choice Requires="x15">
      <x15ac:absPath xmlns:x15ac="http://schemas.microsoft.com/office/spreadsheetml/2010/11/ac" url="C:\WebPosts\todo20230831\"/>
    </mc:Choice>
  </mc:AlternateContent>
  <xr:revisionPtr revIDLastSave="0" documentId="13_ncr:1_{42A1E5F4-A63C-4D07-AF02-DCC959EC879D}" xr6:coauthVersionLast="47" xr6:coauthVersionMax="47" xr10:uidLastSave="{00000000-0000-0000-0000-000000000000}"/>
  <bookViews>
    <workbookView xWindow="5535" yWindow="780" windowWidth="13470" windowHeight="14280" xr2:uid="{00000000-000D-0000-FFFF-FFFF00000000}"/>
  </bookViews>
  <sheets>
    <sheet name="Note" sheetId="63" r:id="rId1"/>
    <sheet name="T1" sheetId="55" r:id="rId2"/>
    <sheet name="T2" sheetId="28" r:id="rId3"/>
    <sheet name="T3" sheetId="47" r:id="rId4"/>
    <sheet name="T4" sheetId="36" r:id="rId5"/>
    <sheet name="T5" sheetId="37" r:id="rId6"/>
    <sheet name="T6A" sheetId="50" r:id="rId7"/>
    <sheet name="T6B" sheetId="51" r:id="rId8"/>
    <sheet name="T7" sheetId="19" r:id="rId9"/>
    <sheet name="T8" sheetId="40" r:id="rId10"/>
    <sheet name="T9" sheetId="60" r:id="rId11"/>
    <sheet name="T10" sheetId="56" r:id="rId12"/>
    <sheet name="T11" sheetId="61" r:id="rId13"/>
    <sheet name="T12" sheetId="62" r:id="rId14"/>
  </sheets>
  <definedNames>
    <definedName name="_xlnm.Print_Area" localSheetId="11">'T10'!$A$1:$I$51</definedName>
    <definedName name="_xlnm.Print_Area" localSheetId="12">'T11'!$A$1:$I$27</definedName>
    <definedName name="_xlnm.Print_Area" localSheetId="3">'T3'!$A$1:$I$49</definedName>
    <definedName name="_xlnm.Print_Area" localSheetId="4">'T4'!$A$1:$I$20</definedName>
    <definedName name="_xlnm.Print_Area" localSheetId="8">'T7'!$A$1:$K$39</definedName>
    <definedName name="_xlnm.Print_Area" localSheetId="9">'T8'!$A$1:$I$66</definedName>
    <definedName name="_xlnm.Print_Area" localSheetId="10">'T9'!$A$1:$I$30</definedName>
    <definedName name="_xlnm.Print_Titles" localSheetId="11">'T10'!$1:$6</definedName>
    <definedName name="_xlnm.Print_Titles" localSheetId="6">T6A!$1:$3</definedName>
    <definedName name="_xlnm.Print_Titles" localSheetId="7">T6B!$1:$3</definedName>
    <definedName name="_xlnm.Print_Titles" localSheetId="9">'T8'!$1:$5</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37" l="1"/>
  <c r="G21" i="37"/>
  <c r="E21" i="37"/>
  <c r="C21" i="37"/>
  <c r="K20" i="37"/>
  <c r="K19" i="37"/>
  <c r="K17" i="37"/>
  <c r="K16" i="37"/>
  <c r="K15" i="37"/>
  <c r="K13" i="37"/>
  <c r="K12" i="37"/>
  <c r="K10" i="37"/>
  <c r="K9" i="37"/>
  <c r="K21" i="37" s="1"/>
  <c r="I18" i="36"/>
  <c r="E18" i="36"/>
  <c r="C18" i="36"/>
</calcChain>
</file>

<file path=xl/sharedStrings.xml><?xml version="1.0" encoding="utf-8"?>
<sst xmlns="http://schemas.openxmlformats.org/spreadsheetml/2006/main" count="1726" uniqueCount="404">
  <si>
    <t>TABLE 1</t>
  </si>
  <si>
    <t>(Thousand metric tons and thousand dollars unless otherwise specified)</t>
  </si>
  <si>
    <t>Sold or used:</t>
  </si>
  <si>
    <t>Quantity:</t>
  </si>
  <si>
    <t>Sand</t>
  </si>
  <si>
    <t>Gravel</t>
  </si>
  <si>
    <t>Total</t>
  </si>
  <si>
    <t>Value:</t>
  </si>
  <si>
    <t>Exports:</t>
  </si>
  <si>
    <t>Quantity</t>
  </si>
  <si>
    <t>Value</t>
  </si>
  <si>
    <t>Imports for consumption:</t>
  </si>
  <si>
    <t>(thousand</t>
  </si>
  <si>
    <t>metric tons)</t>
  </si>
  <si>
    <t>of total</t>
  </si>
  <si>
    <t>Northeast:</t>
  </si>
  <si>
    <t>New England</t>
  </si>
  <si>
    <t>Middle Atlantic</t>
  </si>
  <si>
    <t>Midwest:</t>
  </si>
  <si>
    <t>East North Central</t>
  </si>
  <si>
    <t>West North Central</t>
  </si>
  <si>
    <t>South:</t>
  </si>
  <si>
    <t>South Atlantic</t>
  </si>
  <si>
    <t>East South Central</t>
  </si>
  <si>
    <t>West South Central</t>
  </si>
  <si>
    <t>West:</t>
  </si>
  <si>
    <t>Mountain</t>
  </si>
  <si>
    <t>Pacific</t>
  </si>
  <si>
    <t>INDUSTRIAL SAND AND GRAVEL SOLD OR USED IN</t>
  </si>
  <si>
    <t>(Thousand metric tons and thousand dollars)</t>
  </si>
  <si>
    <t>State</t>
  </si>
  <si>
    <t xml:space="preserve">Quantity </t>
  </si>
  <si>
    <t>Alabama</t>
  </si>
  <si>
    <t>Arizona</t>
  </si>
  <si>
    <t>W</t>
  </si>
  <si>
    <t>Arkansas</t>
  </si>
  <si>
    <t>California</t>
  </si>
  <si>
    <t>Colorado</t>
  </si>
  <si>
    <t>Florida</t>
  </si>
  <si>
    <t>Georgia</t>
  </si>
  <si>
    <t>Idaho</t>
  </si>
  <si>
    <t>Illinois</t>
  </si>
  <si>
    <t>Indiana</t>
  </si>
  <si>
    <t>Iowa</t>
  </si>
  <si>
    <t>Kansas</t>
  </si>
  <si>
    <t>Louisiana</t>
  </si>
  <si>
    <t>Maryland</t>
  </si>
  <si>
    <t>--</t>
  </si>
  <si>
    <t>Michigan</t>
  </si>
  <si>
    <t>Minnesota</t>
  </si>
  <si>
    <t>Mississippi</t>
  </si>
  <si>
    <t>Missouri</t>
  </si>
  <si>
    <t>Nevada</t>
  </si>
  <si>
    <t>New Jersey</t>
  </si>
  <si>
    <t>New Mexico</t>
  </si>
  <si>
    <t>New York</t>
  </si>
  <si>
    <t>North Carolina</t>
  </si>
  <si>
    <t>North Dakota</t>
  </si>
  <si>
    <t>Ohio</t>
  </si>
  <si>
    <t>Oklahoma</t>
  </si>
  <si>
    <t>Pennsylvania</t>
  </si>
  <si>
    <t>Rhode Island</t>
  </si>
  <si>
    <t>South Carolina</t>
  </si>
  <si>
    <t>Tennessee</t>
  </si>
  <si>
    <t>Texas</t>
  </si>
  <si>
    <t>Virginia</t>
  </si>
  <si>
    <t>Washington</t>
  </si>
  <si>
    <t>West Virginia</t>
  </si>
  <si>
    <t>Wisconsin</t>
  </si>
  <si>
    <t>Other</t>
  </si>
  <si>
    <t>TABLE 4</t>
  </si>
  <si>
    <t>INDUSTRIAL SAND AND GRAVEL PRODUCTION IN THE UNITED</t>
  </si>
  <si>
    <t>Number of</t>
  </si>
  <si>
    <t>operations</t>
  </si>
  <si>
    <t>Less than 25,000</t>
  </si>
  <si>
    <t>25,000 to 49,999</t>
  </si>
  <si>
    <t>50,000 to 99,999</t>
  </si>
  <si>
    <t>100,000 to 199,999</t>
  </si>
  <si>
    <t>200,000 to 299,999</t>
  </si>
  <si>
    <t>300,000 to 399,999</t>
  </si>
  <si>
    <t>600,000 to 699,999</t>
  </si>
  <si>
    <t>700,000 and more</t>
  </si>
  <si>
    <t>TABLE 5</t>
  </si>
  <si>
    <t>Dredging</t>
  </si>
  <si>
    <t>active</t>
  </si>
  <si>
    <t>Stationary</t>
  </si>
  <si>
    <t>-- Zero.</t>
  </si>
  <si>
    <t>TABLE 7</t>
  </si>
  <si>
    <t>(Thousand metric tons)</t>
  </si>
  <si>
    <t>Destination</t>
  </si>
  <si>
    <t>Alaska</t>
  </si>
  <si>
    <t>Connecticut</t>
  </si>
  <si>
    <t>Delaware</t>
  </si>
  <si>
    <t>Oregon</t>
  </si>
  <si>
    <t>Hawaii</t>
  </si>
  <si>
    <t>South Dakota</t>
  </si>
  <si>
    <t>Utah</t>
  </si>
  <si>
    <t>Vermont</t>
  </si>
  <si>
    <t>Kentucky</t>
  </si>
  <si>
    <t>Maine</t>
  </si>
  <si>
    <t>Wyoming</t>
  </si>
  <si>
    <t>Massachusetts</t>
  </si>
  <si>
    <t>Countries:</t>
  </si>
  <si>
    <t>Canada</t>
  </si>
  <si>
    <t>Mexico</t>
  </si>
  <si>
    <t>Other:</t>
  </si>
  <si>
    <t>Montana</t>
  </si>
  <si>
    <t>Puerto Rico</t>
  </si>
  <si>
    <t>Nebraska</t>
  </si>
  <si>
    <t>U.S. possessions and territories</t>
  </si>
  <si>
    <t>Destination unknown</t>
  </si>
  <si>
    <t>New Hampshire</t>
  </si>
  <si>
    <t>TABLE 8</t>
  </si>
  <si>
    <t>Africa and the Middle East:</t>
  </si>
  <si>
    <t>Asia:</t>
  </si>
  <si>
    <t>Japan</t>
  </si>
  <si>
    <t>Korea, Republic of</t>
  </si>
  <si>
    <t>Singapore</t>
  </si>
  <si>
    <t>Taiwan</t>
  </si>
  <si>
    <t>Belgium</t>
  </si>
  <si>
    <t>Germany</t>
  </si>
  <si>
    <t>Italy</t>
  </si>
  <si>
    <t>Netherlands</t>
  </si>
  <si>
    <t>Russia</t>
  </si>
  <si>
    <t>United Kingdom</t>
  </si>
  <si>
    <t>North America:</t>
  </si>
  <si>
    <t>Bahamas, The</t>
  </si>
  <si>
    <t>Trinidad and Tobago</t>
  </si>
  <si>
    <t>Oceania:</t>
  </si>
  <si>
    <t>Australia</t>
  </si>
  <si>
    <t>New Zealand</t>
  </si>
  <si>
    <t>South America:</t>
  </si>
  <si>
    <t>Argentina</t>
  </si>
  <si>
    <t>Brazil</t>
  </si>
  <si>
    <t>Colombia</t>
  </si>
  <si>
    <t>Peru</t>
  </si>
  <si>
    <t>Grand total</t>
  </si>
  <si>
    <t>Source: U.S. Census Bureau.</t>
  </si>
  <si>
    <t>TABLE 9</t>
  </si>
  <si>
    <t>U.S. IMPORTS FOR CONSUMPTION OF INDUSTRIAL</t>
  </si>
  <si>
    <t>Chile</t>
  </si>
  <si>
    <t>Israel</t>
  </si>
  <si>
    <t>Mining operations on land</t>
  </si>
  <si>
    <t>400,000 to 499,999</t>
  </si>
  <si>
    <t>500,000 to 599,999</t>
  </si>
  <si>
    <t>Unit</t>
  </si>
  <si>
    <t>(dollars</t>
  </si>
  <si>
    <t>Major use</t>
  </si>
  <si>
    <t>Sand:</t>
  </si>
  <si>
    <t>Glassmaking:</t>
  </si>
  <si>
    <t>Containers</t>
  </si>
  <si>
    <t>Flat, plate and window</t>
  </si>
  <si>
    <t>Specialty</t>
  </si>
  <si>
    <t>Fiberglass, unground</t>
  </si>
  <si>
    <t>Fiberglass, ground</t>
  </si>
  <si>
    <t>Foundry:</t>
  </si>
  <si>
    <t>Molding and core, unground</t>
  </si>
  <si>
    <t>Molding and core, ground</t>
  </si>
  <si>
    <t>Refractory</t>
  </si>
  <si>
    <t>Chemicals, ground and unground</t>
  </si>
  <si>
    <t>Fillers, ground, rubber, paints, putty, etc.</t>
  </si>
  <si>
    <t>Whole-grain fillers/building products</t>
  </si>
  <si>
    <t>Ceramic, ground, pottery, brick, tile, etc.</t>
  </si>
  <si>
    <t>Water, municipal, county, local</t>
  </si>
  <si>
    <t>Swimming pool, other</t>
  </si>
  <si>
    <t>Petroleum industry:</t>
  </si>
  <si>
    <t>Well packing and cementing</t>
  </si>
  <si>
    <t>Recreational:</t>
  </si>
  <si>
    <t>Golf course, greens and traps</t>
  </si>
  <si>
    <t>Baseball, volleyball, play sand, beaches</t>
  </si>
  <si>
    <t>Traction, engine</t>
  </si>
  <si>
    <t>Roofing granules and fillers</t>
  </si>
  <si>
    <t>Other, whole grain</t>
  </si>
  <si>
    <t>Total or average</t>
  </si>
  <si>
    <t>Gravel:</t>
  </si>
  <si>
    <t>Silicon, ferrosilicon</t>
  </si>
  <si>
    <t>Filtration</t>
  </si>
  <si>
    <t>Grand total or average</t>
  </si>
  <si>
    <t>U.S. total</t>
  </si>
  <si>
    <t>(3)</t>
  </si>
  <si>
    <r>
      <t>SALIENT U.S. SILICA STATISTICS</t>
    </r>
    <r>
      <rPr>
        <vertAlign val="superscript"/>
        <sz val="8"/>
        <rFont val="Times New Roman"/>
        <family val="1"/>
      </rPr>
      <t>1</t>
    </r>
  </si>
  <si>
    <r>
      <t>Industrial sand and gravel:</t>
    </r>
    <r>
      <rPr>
        <vertAlign val="superscript"/>
        <sz val="8"/>
        <rFont val="Times New Roman"/>
        <family val="1"/>
      </rPr>
      <t>2</t>
    </r>
  </si>
  <si>
    <r>
      <t>2</t>
    </r>
    <r>
      <rPr>
        <sz val="8"/>
        <rFont val="Times New Roman"/>
        <family val="1"/>
      </rPr>
      <t>Excludes Puerto Rico.</t>
    </r>
  </si>
  <si>
    <r>
      <t>Value</t>
    </r>
    <r>
      <rPr>
        <vertAlign val="superscript"/>
        <sz val="8"/>
        <rFont val="Times New Roman"/>
        <family val="1"/>
      </rPr>
      <t>2</t>
    </r>
  </si>
  <si>
    <r>
      <t>3</t>
    </r>
    <r>
      <rPr>
        <sz val="8"/>
        <rFont val="Times New Roman"/>
        <family val="1"/>
      </rPr>
      <t>Less than ½ unit.</t>
    </r>
  </si>
  <si>
    <r>
      <t>INDUSTRIAL SAND AND GRAVEL SOLD OR USED, BY DESTINATION</t>
    </r>
    <r>
      <rPr>
        <vertAlign val="superscript"/>
        <sz val="8"/>
        <rFont val="Times New Roman"/>
        <family val="1"/>
      </rPr>
      <t>1</t>
    </r>
  </si>
  <si>
    <r>
      <t>value</t>
    </r>
    <r>
      <rPr>
        <vertAlign val="superscript"/>
        <sz val="8"/>
        <rFont val="Times New Roman"/>
        <family val="1"/>
      </rPr>
      <t>2</t>
    </r>
  </si>
  <si>
    <r>
      <t>THE UNITED STATES, BY STATE</t>
    </r>
    <r>
      <rPr>
        <vertAlign val="superscript"/>
        <sz val="8"/>
        <rFont val="Times New Roman"/>
        <family val="1"/>
      </rPr>
      <t>1</t>
    </r>
  </si>
  <si>
    <t>and portable</t>
  </si>
  <si>
    <t>Metallurgical, flux for metal smelting</t>
  </si>
  <si>
    <t>metric</t>
  </si>
  <si>
    <t>tons)</t>
  </si>
  <si>
    <t>per</t>
  </si>
  <si>
    <t>ton)</t>
  </si>
  <si>
    <t>sands)</t>
  </si>
  <si>
    <t>(thou-</t>
  </si>
  <si>
    <r>
      <t>Geographic region</t>
    </r>
    <r>
      <rPr>
        <vertAlign val="superscript"/>
        <sz val="8"/>
        <rFont val="Times New Roman"/>
        <family val="1"/>
      </rPr>
      <t>2</t>
    </r>
  </si>
  <si>
    <t>Hydraulic fracturing</t>
  </si>
  <si>
    <t xml:space="preserve">NUMBER OF INDUSTRIAL SAND AND GRAVEL OPERATIONS AND PROCESSING </t>
  </si>
  <si>
    <t>Percent</t>
  </si>
  <si>
    <t>State:</t>
  </si>
  <si>
    <t>State—Continued:</t>
  </si>
  <si>
    <t>TABLE 3</t>
  </si>
  <si>
    <t>(metric tons per year)</t>
  </si>
  <si>
    <t>United Arab Emirates</t>
  </si>
  <si>
    <t>Saudi Arabia</t>
  </si>
  <si>
    <t>India</t>
  </si>
  <si>
    <t>Thailand</t>
  </si>
  <si>
    <t>France</t>
  </si>
  <si>
    <t>Norway</t>
  </si>
  <si>
    <t>Jamaica</t>
  </si>
  <si>
    <t>Costa Rica</t>
  </si>
  <si>
    <t>Dominican Republic</t>
  </si>
  <si>
    <r>
      <t>2</t>
    </r>
    <r>
      <rPr>
        <sz val="8"/>
        <rFont val="Times New Roman"/>
        <family val="1"/>
      </rPr>
      <t>Calculated using unrounded data.</t>
    </r>
  </si>
  <si>
    <r>
      <t>2</t>
    </r>
    <r>
      <rPr>
        <sz val="8"/>
        <rFont val="Times New Roman"/>
        <family val="1"/>
      </rPr>
      <t>Free alongside ship value of material at U.S. port of export. Based on transaction price; includes all charges incurred in placing material alongside ship.</t>
    </r>
  </si>
  <si>
    <r>
      <t>2</t>
    </r>
    <r>
      <rPr>
        <sz val="8"/>
        <rFont val="Times New Roman"/>
        <family val="1"/>
      </rPr>
      <t>Cost, insurance, and freight value of material at U.S. port of entry. Based on purchase price; includes all charges (except U.S. import duties) in bringing material from foreign country to alongside carrier.</t>
    </r>
  </si>
  <si>
    <t xml:space="preserve">Quantity         </t>
  </si>
  <si>
    <t>metric tons</t>
  </si>
  <si>
    <t xml:space="preserve">Quantity                      </t>
  </si>
  <si>
    <t xml:space="preserve">Quantity                   </t>
  </si>
  <si>
    <r>
      <rPr>
        <vertAlign val="superscript"/>
        <sz val="8"/>
        <rFont val="Times New Roman"/>
        <family val="1"/>
      </rPr>
      <t>r</t>
    </r>
    <r>
      <rPr>
        <sz val="8"/>
        <rFont val="Times New Roman"/>
        <family val="1"/>
      </rPr>
      <t>Revised.  W Withheld to avoid disclosing company proprietary data; included in “Total.”  -- Zero.</t>
    </r>
  </si>
  <si>
    <r>
      <t>U.S. EXPORTS OF INDUSTRIAL SAND AND GRAVEL, BY REGION AND COUNTRY OR LOCALITY</t>
    </r>
    <r>
      <rPr>
        <vertAlign val="superscript"/>
        <sz val="8"/>
        <rFont val="Times New Roman"/>
        <family val="1"/>
      </rPr>
      <t>1</t>
    </r>
    <r>
      <rPr>
        <sz val="8"/>
        <rFont val="Times New Roman"/>
        <family val="1"/>
      </rPr>
      <t xml:space="preserve"> </t>
    </r>
  </si>
  <si>
    <t>Destination or locality</t>
  </si>
  <si>
    <r>
      <t>SAND, BY COUNTRY OR LOCALITY</t>
    </r>
    <r>
      <rPr>
        <vertAlign val="superscript"/>
        <sz val="8"/>
        <rFont val="Times New Roman"/>
        <family val="1"/>
      </rPr>
      <t>1</t>
    </r>
  </si>
  <si>
    <t>Country or locality</t>
  </si>
  <si>
    <t>r</t>
  </si>
  <si>
    <t>Other, ground</t>
  </si>
  <si>
    <t>2018</t>
  </si>
  <si>
    <t>2019</t>
  </si>
  <si>
    <t>TABLE 2</t>
  </si>
  <si>
    <r>
      <t>INDUSTRIAL SAND AND GRAVEL SOLD OR USED IN THE UNITED STATES, BY GEOGRAPHIC DIVISION</t>
    </r>
    <r>
      <rPr>
        <vertAlign val="superscript"/>
        <sz val="8"/>
        <rFont val="Times New Roman"/>
        <family val="1"/>
      </rPr>
      <t>1</t>
    </r>
  </si>
  <si>
    <t>(thousands)</t>
  </si>
  <si>
    <r>
      <rPr>
        <vertAlign val="superscript"/>
        <sz val="8"/>
        <rFont val="Times New Roman"/>
        <family val="1"/>
      </rPr>
      <t>r</t>
    </r>
    <r>
      <rPr>
        <sz val="8"/>
        <rFont val="Times New Roman"/>
        <family val="1"/>
      </rPr>
      <t>Revised.</t>
    </r>
  </si>
  <si>
    <t>2020</t>
  </si>
  <si>
    <t xml:space="preserve">Europe: </t>
  </si>
  <si>
    <t>Midwest</t>
  </si>
  <si>
    <t xml:space="preserve"> South</t>
  </si>
  <si>
    <t xml:space="preserve">  West</t>
  </si>
  <si>
    <t>Northeast</t>
  </si>
  <si>
    <r>
      <rPr>
        <vertAlign val="superscript"/>
        <sz val="8"/>
        <rFont val="Times New Roman"/>
        <family val="1"/>
      </rPr>
      <t>4</t>
    </r>
    <r>
      <rPr>
        <sz val="8"/>
        <rFont val="Times New Roman"/>
        <family val="1"/>
      </rPr>
      <t>Estimated data rounded to two significant digits.</t>
    </r>
  </si>
  <si>
    <r>
      <t>Special silica stone:</t>
    </r>
    <r>
      <rPr>
        <vertAlign val="superscript"/>
        <sz val="8"/>
        <rFont val="Times New Roman"/>
        <family val="1"/>
      </rPr>
      <t>e, 4</t>
    </r>
  </si>
  <si>
    <t>2021</t>
  </si>
  <si>
    <r>
      <t>INDUSTRIAL SAND AND GRAVEL SOLD OR USED BY U.S. PRODUCERS IN 2021, BY MAJOR END USE</t>
    </r>
    <r>
      <rPr>
        <vertAlign val="superscript"/>
        <sz val="8"/>
        <rFont val="Times New Roman"/>
        <family val="1"/>
      </rPr>
      <t>1</t>
    </r>
  </si>
  <si>
    <t>Filtration:</t>
  </si>
  <si>
    <t>Blasting</t>
  </si>
  <si>
    <t>Abrasives:</t>
  </si>
  <si>
    <t>Scouring cleansers (ground)</t>
  </si>
  <si>
    <t>Sawing and sanding</t>
  </si>
  <si>
    <r>
      <t>China</t>
    </r>
    <r>
      <rPr>
        <vertAlign val="superscript"/>
        <sz val="8"/>
        <rFont val="Times New Roman"/>
        <family val="1"/>
      </rPr>
      <t>4</t>
    </r>
  </si>
  <si>
    <r>
      <t>4</t>
    </r>
    <r>
      <rPr>
        <sz val="8"/>
        <rFont val="Times New Roman"/>
        <family val="1"/>
      </rPr>
      <t>Includes Hong Kong.</t>
    </r>
  </si>
  <si>
    <t>Industrial quartz crystal:</t>
  </si>
  <si>
    <t>Piezoelectric quartz, unmounted</t>
  </si>
  <si>
    <t>kilograms</t>
  </si>
  <si>
    <r>
      <t>Tripoli, sold or used:</t>
    </r>
    <r>
      <rPr>
        <vertAlign val="superscript"/>
        <sz val="8"/>
        <rFont val="Times New Roman"/>
        <family val="1"/>
      </rPr>
      <t>3</t>
    </r>
  </si>
  <si>
    <t>Crude, sold or used:</t>
  </si>
  <si>
    <t>Processed, sold or used:</t>
  </si>
  <si>
    <t>do.</t>
  </si>
  <si>
    <t>TABLE 10</t>
  </si>
  <si>
    <t>TABLE 11</t>
  </si>
  <si>
    <t>U.S. IMPORTS FOR CONSUMPTION OF PIEZOELECTRIC</t>
  </si>
  <si>
    <r>
      <t>QUARTZ, UNMOUNTED, BY COUNTRY OR LOCALITY</t>
    </r>
    <r>
      <rPr>
        <vertAlign val="superscript"/>
        <sz val="8"/>
        <rFont val="Times New Roman"/>
        <family val="1"/>
      </rPr>
      <t>1</t>
    </r>
  </si>
  <si>
    <t>Denmark</t>
  </si>
  <si>
    <t>Switzerland</t>
  </si>
  <si>
    <r>
      <t>3</t>
    </r>
    <r>
      <rPr>
        <sz val="8"/>
        <rFont val="Times New Roman"/>
        <family val="1"/>
      </rPr>
      <t>Includes amorphous silica.</t>
    </r>
  </si>
  <si>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do. Ditto.</t>
    </r>
  </si>
  <si>
    <r>
      <rPr>
        <vertAlign val="superscript"/>
        <sz val="8"/>
        <rFont val="Times New Roman"/>
        <family val="1"/>
      </rPr>
      <t>r</t>
    </r>
    <r>
      <rPr>
        <sz val="8"/>
        <rFont val="Times New Roman"/>
        <family val="1"/>
      </rPr>
      <t>Revised.  W Withheld to avoid disclosing company proprietary data; included in “other."  -- Zero.</t>
    </r>
  </si>
  <si>
    <t>(2)</t>
  </si>
  <si>
    <r>
      <rPr>
        <vertAlign val="superscript"/>
        <sz val="8"/>
        <rFont val="Times New Roman"/>
        <family val="1"/>
      </rPr>
      <t>2</t>
    </r>
    <r>
      <rPr>
        <sz val="8"/>
        <rFont val="Times New Roman"/>
        <family val="1"/>
      </rPr>
      <t>Less than ½ unit.</t>
    </r>
  </si>
  <si>
    <t>Poland</t>
  </si>
  <si>
    <t>Turkey</t>
  </si>
  <si>
    <r>
      <rPr>
        <vertAlign val="superscript"/>
        <sz val="8"/>
        <rFont val="Times New Roman"/>
        <family val="1"/>
      </rPr>
      <t>r</t>
    </r>
    <r>
      <rPr>
        <sz val="8"/>
        <rFont val="Times New Roman"/>
        <family val="1"/>
      </rPr>
      <t>Revised.  --Zero.</t>
    </r>
  </si>
  <si>
    <t>Size range</t>
  </si>
  <si>
    <r>
      <rPr>
        <vertAlign val="superscript"/>
        <sz val="8"/>
        <rFont val="Times New Roman"/>
        <family val="1"/>
      </rPr>
      <t>2</t>
    </r>
    <r>
      <rPr>
        <sz val="8"/>
        <rFont val="Times New Roman"/>
        <family val="1"/>
      </rPr>
      <t>Sales region equivalent to U.S. Census Bureau Geographic Division as follows: Middle Atlantic (NJ, NY, PA); New England (CT, MA, ME, NH, RI, VT); East North Central (IL, IN, MI, OH, WI); West North Central (IA, KS, MN, MO, NE, ND, SD); East South Central (AL, KY, MS, TN); South Atlantic (DC, DE, FL, GA, MD, NC, SC, VA, WV); West South Central (AR, LA, OK, TX); Mountain (AZ, CO, ID, MT, NM, NV, UT, WY); Pacific (AK, CA, HI, OR, WA).</t>
    </r>
  </si>
  <si>
    <t>TABLE 6A</t>
  </si>
  <si>
    <t>TABLE 6B</t>
  </si>
  <si>
    <t>Czechia</t>
  </si>
  <si>
    <t>2022</t>
  </si>
  <si>
    <r>
      <t>STATES IN 2022, BY SIZE OF OPERATION</t>
    </r>
    <r>
      <rPr>
        <vertAlign val="superscript"/>
        <sz val="8"/>
        <rFont val="Times New Roman"/>
        <family val="1"/>
      </rPr>
      <t>1</t>
    </r>
  </si>
  <si>
    <r>
      <t>PLANTS IN THE UNITED STATES IN 2022, BY GEOGRAPHIC DIVISION</t>
    </r>
    <r>
      <rPr>
        <vertAlign val="superscript"/>
        <sz val="8"/>
        <rFont val="Times New Roman"/>
        <family val="1"/>
      </rPr>
      <t>1</t>
    </r>
  </si>
  <si>
    <t xml:space="preserve">Europe:  </t>
  </si>
  <si>
    <t>Marshall Islands</t>
  </si>
  <si>
    <r>
      <t>1</t>
    </r>
    <r>
      <rPr>
        <sz val="8"/>
        <rFont val="Times New Roman"/>
        <family val="1"/>
      </rPr>
      <t>Table includes data available through July 12, 2023.</t>
    </r>
    <r>
      <rPr>
        <vertAlign val="superscript"/>
        <sz val="8"/>
        <rFont val="Times New Roman"/>
        <family val="1"/>
      </rPr>
      <t xml:space="preserve"> </t>
    </r>
    <r>
      <rPr>
        <sz val="8"/>
        <rFont val="Times New Roman"/>
        <family val="1"/>
      </rPr>
      <t>Data are rounded to no more than three significant digits; may not add to totals shown.</t>
    </r>
  </si>
  <si>
    <t>Jordan</t>
  </si>
  <si>
    <t>Ecuador</t>
  </si>
  <si>
    <t>Oceania; Australia</t>
  </si>
  <si>
    <r>
      <t>1</t>
    </r>
    <r>
      <rPr>
        <sz val="8"/>
        <rFont val="Times New Roman"/>
        <family val="1"/>
      </rPr>
      <t>Table includes data available through July 20, 2023.</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</si>
  <si>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July 20, 2023.</t>
    </r>
    <r>
      <rPr>
        <vertAlign val="superscript"/>
        <sz val="8"/>
        <rFont val="Times New Roman"/>
        <family val="1"/>
      </rPr>
      <t xml:space="preserve"> </t>
    </r>
    <r>
      <rPr>
        <sz val="8"/>
        <rFont val="Times New Roman"/>
        <family val="1"/>
      </rPr>
      <t>Data are rounded to no more than three significant digits; may not add to totals shown.</t>
    </r>
  </si>
  <si>
    <r>
      <t>1</t>
    </r>
    <r>
      <rPr>
        <sz val="8"/>
        <rFont val="Times New Roman"/>
        <family val="1"/>
      </rPr>
      <t xml:space="preserve">Table includes data available through July 20, 2023. </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</si>
  <si>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July 20, 2023.</t>
    </r>
  </si>
  <si>
    <r>
      <rPr>
        <vertAlign val="superscript"/>
        <sz val="8"/>
        <rFont val="Times New Roman"/>
        <family val="1"/>
      </rPr>
      <t>1</t>
    </r>
    <r>
      <rPr>
        <sz val="8"/>
        <rFont val="Times New Roman"/>
        <family val="1"/>
      </rPr>
      <t xml:space="preserve">Table includes data available through July 20, 2023. </t>
    </r>
    <r>
      <rPr>
        <vertAlign val="superscript"/>
        <sz val="8"/>
        <rFont val="Times New Roman"/>
        <family val="1"/>
      </rPr>
      <t xml:space="preserve"> </t>
    </r>
    <r>
      <rPr>
        <sz val="8"/>
        <rFont val="Times New Roman"/>
        <family val="1"/>
      </rPr>
      <t>Data are rounded to no more than three significant digits, except for unit values; may not add to totals shown.</t>
    </r>
  </si>
  <si>
    <r>
      <t>2</t>
    </r>
    <r>
      <rPr>
        <sz val="8"/>
        <rFont val="Times New Roman"/>
        <family val="1"/>
      </rPr>
      <t>Less than ½</t>
    </r>
    <r>
      <rPr>
        <vertAlign val="superscript"/>
        <sz val="8"/>
        <rFont val="Times New Roman"/>
        <family val="1"/>
      </rPr>
      <t xml:space="preserve"> </t>
    </r>
    <r>
      <rPr>
        <sz val="8"/>
        <rFont val="Times New Roman"/>
        <family val="1"/>
      </rPr>
      <t>unit.</t>
    </r>
  </si>
  <si>
    <t>No Plants or</t>
  </si>
  <si>
    <t>Unspecified</t>
  </si>
  <si>
    <r>
      <rPr>
        <vertAlign val="superscript"/>
        <sz val="8"/>
        <rFont val="Times New Roman"/>
        <family val="1"/>
      </rPr>
      <t>r</t>
    </r>
    <r>
      <rPr>
        <sz val="8"/>
        <rFont val="Times New Roman"/>
        <family val="1"/>
      </rPr>
      <t>Revised.  W Withheld to avoid disclosing company proprietary data; included in “Total or average” and “Grand total or average.”  -- Zero.</t>
    </r>
  </si>
  <si>
    <r>
      <t>3</t>
    </r>
    <r>
      <rPr>
        <sz val="8"/>
        <rFont val="Times New Roman"/>
        <family val="1"/>
      </rPr>
      <t>Less than ½</t>
    </r>
    <r>
      <rPr>
        <vertAlign val="superscript"/>
        <sz val="8"/>
        <rFont val="Times New Roman"/>
        <family val="1"/>
      </rPr>
      <t xml:space="preserve"> </t>
    </r>
    <r>
      <rPr>
        <sz val="8"/>
        <rFont val="Times New Roman"/>
        <family val="1"/>
      </rPr>
      <t>unit.</t>
    </r>
  </si>
  <si>
    <t>W Withheld to avoid disclosing company proprietary data; included in “Total or average” and “Grand total or average.”  -- Zero.</t>
  </si>
  <si>
    <t>Vietnam</t>
  </si>
  <si>
    <t xml:space="preserve">U.S. EXPORTS OF PIEZOELECTRIC QUARTZ, UNMOUNTED, </t>
  </si>
  <si>
    <r>
      <t>BY REGION AND COUNTRY OR LOCALITY</t>
    </r>
    <r>
      <rPr>
        <vertAlign val="superscript"/>
        <sz val="8"/>
        <rFont val="Times New Roman"/>
        <family val="1"/>
      </rPr>
      <t>1</t>
    </r>
  </si>
  <si>
    <t>TABLE 12</t>
  </si>
  <si>
    <r>
      <t>INDUSTRIAL SAND AND GRAVEL (SILICA): WORLD PRODUCTION, BY COUNTRY OR LOCALITY</t>
    </r>
    <r>
      <rPr>
        <vertAlign val="superscript"/>
        <sz val="8"/>
        <color theme="1"/>
        <rFont val="Times New Roman"/>
        <family val="1"/>
      </rPr>
      <t>1</t>
    </r>
  </si>
  <si>
    <r>
      <t>Country or locality</t>
    </r>
    <r>
      <rPr>
        <vertAlign val="superscript"/>
        <sz val="8"/>
        <color theme="1"/>
        <rFont val="Times New Roman"/>
        <family val="1"/>
      </rPr>
      <t>2</t>
    </r>
  </si>
  <si>
    <t>Albania, quartz and quartz sand</t>
  </si>
  <si>
    <r>
      <t>Algeria, unspecified</t>
    </r>
    <r>
      <rPr>
        <vertAlign val="superscript"/>
        <sz val="8"/>
        <color theme="1"/>
        <rFont val="Times New Roman"/>
        <family val="1"/>
      </rPr>
      <t>e</t>
    </r>
  </si>
  <si>
    <t>Angola, quartz</t>
  </si>
  <si>
    <t>e</t>
  </si>
  <si>
    <t>Argentina, unspecified</t>
  </si>
  <si>
    <r>
      <t>Australia, quartz and quartzite</t>
    </r>
    <r>
      <rPr>
        <vertAlign val="superscript"/>
        <sz val="8"/>
        <color theme="1"/>
        <rFont val="Times New Roman"/>
        <family val="1"/>
      </rPr>
      <t>e</t>
    </r>
  </si>
  <si>
    <t>Austria:</t>
  </si>
  <si>
    <t>Quartz and quartzite, including pegmatite</t>
  </si>
  <si>
    <t>Quartz</t>
  </si>
  <si>
    <t>Bosnia and Herzegovina, unspecified</t>
  </si>
  <si>
    <t>Bulgaria:</t>
  </si>
  <si>
    <r>
      <t>Quartz</t>
    </r>
    <r>
      <rPr>
        <vertAlign val="superscript"/>
        <sz val="8"/>
        <color theme="1"/>
        <rFont val="Times New Roman"/>
        <family val="1"/>
      </rPr>
      <t>e</t>
    </r>
  </si>
  <si>
    <r>
      <t>Cambodia, solid</t>
    </r>
    <r>
      <rPr>
        <vertAlign val="superscript"/>
        <sz val="8"/>
        <color theme="1"/>
        <rFont val="Times New Roman"/>
        <family val="1"/>
      </rPr>
      <t>e</t>
    </r>
  </si>
  <si>
    <t>Canada, quartz</t>
  </si>
  <si>
    <t>Chile:</t>
  </si>
  <si>
    <t>Silica sand</t>
  </si>
  <si>
    <t>China</t>
  </si>
  <si>
    <t>Croatia, quartz and quartzite</t>
  </si>
  <si>
    <t>Cuba, unspecified</t>
  </si>
  <si>
    <t>Czechia:</t>
  </si>
  <si>
    <t>Foundry sand</t>
  </si>
  <si>
    <t>Glass sand</t>
  </si>
  <si>
    <t>Quartz and quartzite</t>
  </si>
  <si>
    <t>Denmark, quartz</t>
  </si>
  <si>
    <t>Dominican Republic, silica sand</t>
  </si>
  <si>
    <t>Ecuador, unspecified</t>
  </si>
  <si>
    <r>
      <t>Egypt:</t>
    </r>
    <r>
      <rPr>
        <vertAlign val="superscript"/>
        <sz val="8"/>
        <color theme="1"/>
        <rFont val="Times New Roman"/>
        <family val="1"/>
      </rPr>
      <t>e</t>
    </r>
  </si>
  <si>
    <t>Estonia, unspecified</t>
  </si>
  <si>
    <r>
      <t>Ethiopia:</t>
    </r>
    <r>
      <rPr>
        <vertAlign val="superscript"/>
        <sz val="8"/>
        <color theme="1"/>
        <rFont val="Times New Roman"/>
        <family val="1"/>
      </rPr>
      <t>e</t>
    </r>
  </si>
  <si>
    <t>France, silica</t>
  </si>
  <si>
    <t>Germany:</t>
  </si>
  <si>
    <t>Silica</t>
  </si>
  <si>
    <t>Quartz sand and gravel</t>
  </si>
  <si>
    <t>Greece, unspecified</t>
  </si>
  <si>
    <t>Guatemala, sand</t>
  </si>
  <si>
    <t>Hungary:</t>
  </si>
  <si>
    <r>
      <t>Glass sand</t>
    </r>
    <r>
      <rPr>
        <vertAlign val="superscript"/>
        <sz val="8"/>
        <color theme="1"/>
        <rFont val="Times New Roman"/>
        <family val="1"/>
      </rPr>
      <t>e</t>
    </r>
  </si>
  <si>
    <r>
      <t>India:</t>
    </r>
    <r>
      <rPr>
        <vertAlign val="superscript"/>
        <sz val="8"/>
        <color theme="1"/>
        <rFont val="Times New Roman"/>
        <family val="1"/>
      </rPr>
      <t>e</t>
    </r>
  </si>
  <si>
    <r>
      <t>Indonesia:</t>
    </r>
    <r>
      <rPr>
        <vertAlign val="superscript"/>
        <sz val="8"/>
        <color theme="1"/>
        <rFont val="Times New Roman"/>
        <family val="1"/>
      </rPr>
      <t>e</t>
    </r>
  </si>
  <si>
    <t>Silica, in the form of quartz</t>
  </si>
  <si>
    <t>Israel, unspecified</t>
  </si>
  <si>
    <t>Jamaica, unspecified</t>
  </si>
  <si>
    <t>Japan, unspecified</t>
  </si>
  <si>
    <t>Jordan, unspecified</t>
  </si>
  <si>
    <r>
      <t>Kenya, glass sand</t>
    </r>
    <r>
      <rPr>
        <vertAlign val="superscript"/>
        <sz val="8"/>
        <color theme="1"/>
        <rFont val="Times New Roman"/>
        <family val="1"/>
      </rPr>
      <t>e</t>
    </r>
  </si>
  <si>
    <t>Korea, Republic of:</t>
  </si>
  <si>
    <t>Quartzite</t>
  </si>
  <si>
    <t>Kosovo, unspecified</t>
  </si>
  <si>
    <t>Kyrgyzstan, silica</t>
  </si>
  <si>
    <t>Latvia, silica sand</t>
  </si>
  <si>
    <t>Malaysia, unspecified</t>
  </si>
  <si>
    <t>Mexico, quartz and quartzite</t>
  </si>
  <si>
    <t>New Zealand:</t>
  </si>
  <si>
    <t>Nigeria, silica sand</t>
  </si>
  <si>
    <t>Norway, quartz and quartzite</t>
  </si>
  <si>
    <t>Oman:</t>
  </si>
  <si>
    <t>Pakistan</t>
  </si>
  <si>
    <t>r, e</t>
  </si>
  <si>
    <t>Peru:</t>
  </si>
  <si>
    <t>Philippines, silica sand</t>
  </si>
  <si>
    <t>Poland:</t>
  </si>
  <si>
    <r>
      <t>Foundry sand</t>
    </r>
    <r>
      <rPr>
        <vertAlign val="superscript"/>
        <sz val="8"/>
        <color theme="1"/>
        <rFont val="Times New Roman"/>
        <family val="1"/>
      </rPr>
      <t>e</t>
    </r>
  </si>
  <si>
    <t>Moulding sand</t>
  </si>
  <si>
    <t>Portugal:</t>
  </si>
  <si>
    <t>Romania, silica sand</t>
  </si>
  <si>
    <r>
      <t>Russia, glass sand</t>
    </r>
    <r>
      <rPr>
        <vertAlign val="superscript"/>
        <sz val="8"/>
        <color theme="1"/>
        <rFont val="Times New Roman"/>
        <family val="1"/>
      </rPr>
      <t>3</t>
    </r>
  </si>
  <si>
    <t>Saudi Arabia, unspecified</t>
  </si>
  <si>
    <t>Serbia, common sand</t>
  </si>
  <si>
    <t>Slovakia, unspecified</t>
  </si>
  <si>
    <t>Slovenia, quartz and quartzite</t>
  </si>
  <si>
    <t>South Africa, unspecified</t>
  </si>
  <si>
    <t>Spain:</t>
  </si>
  <si>
    <t>Tripoli</t>
  </si>
  <si>
    <t>Sri Lanka, unspecified</t>
  </si>
  <si>
    <t>Taiwan, silica</t>
  </si>
  <si>
    <t>Thailand, unspecified</t>
  </si>
  <si>
    <t>Turkey:</t>
  </si>
  <si>
    <t>United Kingdom, silica sand</t>
  </si>
  <si>
    <t>United States, unspecified</t>
  </si>
  <si>
    <r>
      <t>Venezuela, unspecified</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</si>
  <si>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</si>
  <si>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2</t>
    </r>
    <r>
      <rPr>
        <sz val="8"/>
        <color theme="1"/>
        <rFont val="Times New Roman"/>
        <family val="1"/>
      </rPr>
      <t>In addition to the countries and (or) localities listed, Antigua and Barbuda, The Bahamas, Belgium, Brazil, Iran, Ireland, and Paraguay may have produced industrial sand, but available information was inadequate to make reliable estimates of output.</t>
    </r>
  </si>
  <si>
    <r>
      <t>3</t>
    </r>
    <r>
      <rPr>
        <sz val="8"/>
        <color theme="1"/>
        <rFont val="Times New Roman"/>
        <family val="1"/>
      </rPr>
      <t>Russia's glass sand production represents about one-third of the total industrial sand production.</t>
    </r>
  </si>
  <si>
    <r>
      <t>INDUSTRIAL SAND AND GRAVEL SOLD OR USED BY U.S. PRODUCERS IN 2022, BY MAJOR END USE</t>
    </r>
    <r>
      <rPr>
        <vertAlign val="superscript"/>
        <sz val="8"/>
        <rFont val="Times New Roman"/>
        <family val="1"/>
      </rPr>
      <t>1</t>
    </r>
  </si>
  <si>
    <r>
      <rPr>
        <vertAlign val="superscript"/>
        <sz val="8"/>
        <rFont val="Times New Roman"/>
        <family val="1"/>
      </rPr>
      <t>3</t>
    </r>
    <r>
      <rPr>
        <sz val="8"/>
        <rFont val="Times New Roman"/>
        <family val="1"/>
      </rPr>
      <t>Less than ½ unit.</t>
    </r>
  </si>
  <si>
    <t>(Kilograms and thousand dollars)</t>
  </si>
  <si>
    <t>2</t>
  </si>
  <si>
    <r>
      <t>3</t>
    </r>
    <r>
      <rPr>
        <sz val="8"/>
        <rFont val="Times New Roman"/>
        <family val="1"/>
      </rPr>
      <t>Includes Hong Kong.</t>
    </r>
  </si>
  <si>
    <r>
      <t>China</t>
    </r>
    <r>
      <rPr>
        <vertAlign val="superscript"/>
        <sz val="8"/>
        <rFont val="Times New Roman"/>
        <family val="1"/>
      </rPr>
      <t>3</t>
    </r>
  </si>
  <si>
    <r>
      <t>Italy, unspecified</t>
    </r>
    <r>
      <rPr>
        <vertAlign val="superscript"/>
        <sz val="8"/>
        <color theme="1"/>
        <rFont val="Times New Roman"/>
        <family val="1"/>
      </rPr>
      <t>e</t>
    </r>
  </si>
  <si>
    <t>Lithuania, unspecified</t>
  </si>
  <si>
    <t xml:space="preserve">Netherlands, unspecified </t>
  </si>
  <si>
    <t>e, 4</t>
  </si>
  <si>
    <r>
      <t>1</t>
    </r>
    <r>
      <rPr>
        <sz val="8"/>
        <color theme="1"/>
        <rFont val="Times New Roman"/>
        <family val="1"/>
      </rPr>
      <t>Table includes data available through July 24, 2023. All data are reported unless otherwise noted; totals may inlude estimated data. Totals, U.S. data, and estimated data are rounded to three significant digits; may not add to totals shown.</t>
    </r>
  </si>
  <si>
    <t>Advance Data Release of the</t>
  </si>
  <si>
    <t>2022 Annual Tables</t>
  </si>
  <si>
    <t>These tables are an advance data release of those to be incorporated in the USGS</t>
  </si>
  <si>
    <t xml:space="preserve"> Minerals Yearbook 2022,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</si>
  <si>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</si>
  <si>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</si>
  <si>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</si>
  <si>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August 31,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</si>
</sst>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
    <numFmt numFmtId="165" formatCode="_(* #,##0_);_(* \(#,##0\);_(* &quot;-&quot;??_);_(@_)"/>
    <numFmt numFmtId="166" formatCode="&quot;$&quot;#,##0.00"/>
  </numFmts>
  <fonts count="23">
    <font>
      <sz val="8"/>
      <name val="ITC Bookman Light"/>
    </font>
    <font>
      <sz val="11"/>
      <color theme="1"/>
      <name val="Calibri"/>
      <family val="2"/>
      <scheme val="minor"/>
    </font>
    <font>
      <sz val="8"/>
      <name val="Times"/>
      <family val="1"/>
    </font>
    <font>
      <sz val="8"/>
      <name val="Times"/>
      <family val="1"/>
    </font>
    <font>
      <sz val="8"/>
      <name val="ITC Bookman Light"/>
      <family val="1"/>
    </font>
    <font>
      <sz val="8"/>
      <name val="Times New Roman"/>
      <family val="1"/>
    </font>
    <font>
      <vertAlign val="superscript"/>
      <sz val="8"/>
      <name val="Times New Roman"/>
      <family val="1"/>
    </font>
    <font>
      <sz val="6"/>
      <name val="Times New Roman"/>
      <family val="1"/>
    </font>
    <font>
      <sz val="8"/>
      <color indexed="8"/>
      <name val="Times New Roman"/>
      <family val="1"/>
    </font>
    <font>
      <sz val="8"/>
      <name val="ITC Bookman Light"/>
      <family val="1"/>
    </font>
    <font>
      <sz val="10"/>
      <color rgb="FF000000"/>
      <name val="Arial"/>
      <family val="2"/>
    </font>
    <font>
      <sz val="12"/>
      <color theme="1"/>
      <name val="Calibri"/>
      <family val="2"/>
      <scheme val="minor"/>
    </font>
    <font>
      <b/>
      <sz val="8"/>
      <name val="Times New Roman"/>
      <family val="1"/>
    </font>
    <font>
      <sz val="11"/>
      <color rgb="FF000000"/>
      <name val="Calibri"/>
      <family val="2"/>
      <scheme val="minor"/>
    </font>
    <font>
      <sz val="8"/>
      <color rgb="FFFF0000"/>
      <name val="Times New Roman"/>
      <family val="1"/>
    </font>
    <font>
      <sz val="8"/>
      <name val="ITC Bookman Light"/>
    </font>
    <font>
      <sz val="8"/>
      <color theme="1"/>
      <name val="Times New Roman"/>
      <family val="1"/>
    </font>
    <font>
      <vertAlign val="superscript"/>
      <sz val="8"/>
      <color theme="1"/>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20">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bottom style="hair">
        <color indexed="8"/>
      </bottom>
      <diagonal/>
    </border>
    <border>
      <left/>
      <right/>
      <top style="thin">
        <color indexed="64"/>
      </top>
      <bottom style="hair">
        <color indexed="64"/>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5">
    <xf numFmtId="0" fontId="0" fillId="0" borderId="0"/>
    <xf numFmtId="43" fontId="4" fillId="0" borderId="0" applyFont="0" applyFill="0" applyBorder="0" applyAlignment="0" applyProtection="0"/>
    <xf numFmtId="43" fontId="9" fillId="0" borderId="0" applyFont="0" applyFill="0" applyBorder="0" applyAlignment="0" applyProtection="0"/>
    <xf numFmtId="0" fontId="3" fillId="0" borderId="0"/>
    <xf numFmtId="0" fontId="2" fillId="0" borderId="0"/>
    <xf numFmtId="0" fontId="2" fillId="0" borderId="0"/>
    <xf numFmtId="0" fontId="4" fillId="0" borderId="0"/>
    <xf numFmtId="0" fontId="4" fillId="0" borderId="0"/>
    <xf numFmtId="0" fontId="2" fillId="0" borderId="0"/>
    <xf numFmtId="0" fontId="10" fillId="0" borderId="0"/>
    <xf numFmtId="0" fontId="11" fillId="0" borderId="0"/>
    <xf numFmtId="43" fontId="11" fillId="0" borderId="0" applyFont="0" applyFill="0" applyBorder="0" applyAlignment="0" applyProtection="0"/>
    <xf numFmtId="0" fontId="13" fillId="0" borderId="0"/>
    <xf numFmtId="0" fontId="1" fillId="0" borderId="0"/>
    <xf numFmtId="0" fontId="5" fillId="0" borderId="0"/>
  </cellStyleXfs>
  <cellXfs count="344">
    <xf numFmtId="0" fontId="0" fillId="0" borderId="0" xfId="0"/>
    <xf numFmtId="0" fontId="5" fillId="0" borderId="0" xfId="0" applyFont="1"/>
    <xf numFmtId="3" fontId="5" fillId="0" borderId="0" xfId="0" applyNumberFormat="1" applyFont="1"/>
    <xf numFmtId="49" fontId="5" fillId="0" borderId="0" xfId="0" applyNumberFormat="1" applyFont="1"/>
    <xf numFmtId="9" fontId="5" fillId="0" borderId="0" xfId="0" applyNumberFormat="1" applyFont="1"/>
    <xf numFmtId="3" fontId="5" fillId="0" borderId="2" xfId="8" applyNumberFormat="1" applyFont="1" applyFill="1" applyBorder="1" applyAlignment="1" applyProtection="1">
      <alignment horizontal="right" vertical="center" justifyLastLine="1"/>
      <protection locked="0"/>
    </xf>
    <xf numFmtId="0" fontId="6" fillId="0" borderId="2" xfId="8" applyFont="1" applyFill="1" applyBorder="1" applyAlignment="1" applyProtection="1">
      <alignment horizontal="left" vertical="center" justifyLastLine="1"/>
      <protection locked="0"/>
    </xf>
    <xf numFmtId="0" fontId="6" fillId="0" borderId="0" xfId="8" applyFont="1" applyFill="1" applyBorder="1" applyAlignment="1" applyProtection="1">
      <alignment horizontal="left" vertical="center" justifyLastLine="1"/>
      <protection locked="0"/>
    </xf>
    <xf numFmtId="165" fontId="6" fillId="0" borderId="0" xfId="1" applyNumberFormat="1" applyFont="1" applyFill="1" applyBorder="1" applyAlignment="1" applyProtection="1">
      <alignment horizontal="right" vertical="center" justifyLastLine="1"/>
      <protection locked="0"/>
    </xf>
    <xf numFmtId="0" fontId="6" fillId="0" borderId="1" xfId="8" applyFont="1" applyFill="1" applyBorder="1" applyAlignment="1" applyProtection="1">
      <alignment horizontal="left" vertical="center" justifyLastLine="1"/>
      <protection locked="0"/>
    </xf>
    <xf numFmtId="3" fontId="5" fillId="0" borderId="0" xfId="0" applyNumberFormat="1" applyFont="1" applyAlignment="1">
      <alignment horizontal="right" vertical="center"/>
    </xf>
    <xf numFmtId="3" fontId="5" fillId="0" borderId="0" xfId="0" applyNumberFormat="1" applyFont="1" applyFill="1" applyAlignment="1">
      <alignment horizontal="right" vertical="center"/>
    </xf>
    <xf numFmtId="166" fontId="5" fillId="0" borderId="0" xfId="1" applyNumberFormat="1" applyFont="1" applyFill="1" applyBorder="1" applyAlignment="1" applyProtection="1">
      <alignment horizontal="right" vertical="center" justifyLastLine="1"/>
      <protection locked="0"/>
    </xf>
    <xf numFmtId="4" fontId="5" fillId="0" borderId="0" xfId="1" applyNumberFormat="1" applyFont="1" applyFill="1" applyBorder="1" applyAlignment="1" applyProtection="1">
      <alignment horizontal="right" vertical="center" justifyLastLine="1"/>
      <protection locked="0"/>
    </xf>
    <xf numFmtId="2" fontId="6" fillId="0" borderId="0" xfId="1" applyNumberFormat="1" applyFont="1" applyFill="1" applyBorder="1" applyAlignment="1" applyProtection="1">
      <alignment horizontal="right" vertical="center" justifyLastLine="1"/>
      <protection locked="0"/>
    </xf>
    <xf numFmtId="2" fontId="5" fillId="0" borderId="0" xfId="1" applyNumberFormat="1" applyFont="1" applyFill="1" applyBorder="1" applyAlignment="1" applyProtection="1">
      <alignment horizontal="right" vertical="center" justifyLastLine="1"/>
      <protection locked="0"/>
    </xf>
    <xf numFmtId="49" fontId="5" fillId="0" borderId="3" xfId="0" applyNumberFormat="1" applyFont="1" applyBorder="1" applyAlignment="1">
      <alignment horizontal="right" vertical="center"/>
    </xf>
    <xf numFmtId="4" fontId="5" fillId="0" borderId="0" xfId="1" quotePrefix="1" applyNumberFormat="1" applyFont="1" applyFill="1" applyBorder="1" applyAlignment="1" applyProtection="1">
      <alignment horizontal="right" vertical="center" justifyLastLine="1"/>
      <protection locked="0"/>
    </xf>
    <xf numFmtId="3" fontId="5" fillId="0" borderId="0" xfId="0" quotePrefix="1" applyNumberFormat="1" applyFont="1" applyAlignment="1">
      <alignment horizontal="right" vertical="center"/>
    </xf>
    <xf numFmtId="0" fontId="6" fillId="0" borderId="3" xfId="8" applyFont="1" applyFill="1" applyBorder="1" applyAlignment="1" applyProtection="1">
      <alignment horizontal="left" vertical="center" justifyLastLine="1"/>
      <protection locked="0"/>
    </xf>
    <xf numFmtId="49" fontId="6" fillId="0" borderId="3" xfId="8" applyNumberFormat="1" applyFont="1" applyFill="1" applyBorder="1" applyAlignment="1" applyProtection="1">
      <alignment horizontal="right" vertical="center" justifyLastLine="1"/>
      <protection locked="0"/>
    </xf>
    <xf numFmtId="49" fontId="5" fillId="0" borderId="3" xfId="8" applyNumberFormat="1" applyFont="1" applyFill="1" applyBorder="1" applyAlignment="1" applyProtection="1">
      <alignment horizontal="right" vertical="center" justifyLastLine="1"/>
      <protection locked="0"/>
    </xf>
    <xf numFmtId="3" fontId="5" fillId="0" borderId="3" xfId="8" applyNumberFormat="1" applyFont="1" applyFill="1" applyBorder="1" applyAlignment="1" applyProtection="1">
      <alignment horizontal="right" vertical="center" justifyLastLine="1"/>
      <protection locked="0"/>
    </xf>
    <xf numFmtId="49" fontId="5" fillId="0" borderId="0" xfId="0" applyNumberFormat="1" applyFont="1" applyAlignment="1">
      <alignment horizontal="right" vertical="center"/>
    </xf>
    <xf numFmtId="49" fontId="7" fillId="0" borderId="0" xfId="0" quotePrefix="1" applyNumberFormat="1" applyFont="1" applyAlignment="1">
      <alignment horizontal="right" vertical="center"/>
    </xf>
    <xf numFmtId="49" fontId="6" fillId="0" borderId="0" xfId="0" applyNumberFormat="1" applyFont="1" applyAlignment="1">
      <alignment horizontal="left" vertical="center"/>
    </xf>
    <xf numFmtId="49" fontId="5" fillId="0" borderId="0" xfId="0" quotePrefix="1" applyNumberFormat="1" applyFont="1" applyAlignment="1">
      <alignment horizontal="right" vertical="center"/>
    </xf>
    <xf numFmtId="49" fontId="5" fillId="0" borderId="3" xfId="8" applyNumberFormat="1" applyFont="1" applyFill="1" applyBorder="1" applyAlignment="1" applyProtection="1">
      <alignment horizontal="left" vertical="center" indent="1" justifyLastLine="1"/>
      <protection locked="0"/>
    </xf>
    <xf numFmtId="49" fontId="5" fillId="0" borderId="3" xfId="8" applyNumberFormat="1" applyFont="1" applyFill="1" applyBorder="1" applyAlignment="1" applyProtection="1">
      <alignment horizontal="left" vertical="center" indent="2" justifyLastLine="1"/>
      <protection locked="0"/>
    </xf>
    <xf numFmtId="49" fontId="5" fillId="0" borderId="3" xfId="8" applyNumberFormat="1" applyFont="1" applyFill="1" applyBorder="1" applyAlignment="1" applyProtection="1">
      <alignment horizontal="center" vertical="center" justifyLastLine="1"/>
      <protection locked="0"/>
    </xf>
    <xf numFmtId="3" fontId="6" fillId="0" borderId="0" xfId="8" applyNumberFormat="1" applyFont="1" applyFill="1" applyBorder="1" applyAlignment="1" applyProtection="1">
      <alignment horizontal="right" vertical="center" justifyLastLine="1"/>
      <protection locked="0"/>
    </xf>
    <xf numFmtId="49" fontId="6" fillId="0" borderId="0" xfId="8" applyNumberFormat="1" applyFont="1" applyFill="1" applyBorder="1" applyAlignment="1" applyProtection="1">
      <alignment horizontal="left" vertical="center" justifyLastLine="1"/>
      <protection locked="0"/>
    </xf>
    <xf numFmtId="49" fontId="5" fillId="0" borderId="0" xfId="0" applyNumberFormat="1" applyFont="1" applyFill="1" applyAlignment="1">
      <alignment horizontal="right" vertical="center"/>
    </xf>
    <xf numFmtId="49" fontId="5" fillId="0" borderId="0" xfId="0" quotePrefix="1" applyNumberFormat="1" applyFont="1" applyFill="1" applyAlignment="1">
      <alignment horizontal="right" vertical="center"/>
    </xf>
    <xf numFmtId="49" fontId="6" fillId="0" borderId="1" xfId="8" applyNumberFormat="1" applyFont="1" applyFill="1" applyBorder="1" applyAlignment="1" applyProtection="1">
      <alignment horizontal="left" vertical="center" justifyLastLine="1"/>
      <protection locked="0"/>
    </xf>
    <xf numFmtId="49" fontId="6" fillId="0" borderId="3" xfId="8" applyNumberFormat="1" applyFont="1" applyFill="1" applyBorder="1" applyAlignment="1" applyProtection="1">
      <alignment horizontal="left" vertical="center" justifyLastLine="1"/>
      <protection locked="0"/>
    </xf>
    <xf numFmtId="3" fontId="5" fillId="0" borderId="0" xfId="0" quotePrefix="1" applyNumberFormat="1" applyFont="1" applyFill="1" applyAlignment="1">
      <alignment horizontal="right" vertical="center"/>
    </xf>
    <xf numFmtId="49" fontId="5" fillId="0" borderId="0" xfId="1" quotePrefix="1" applyNumberFormat="1" applyFont="1" applyFill="1" applyBorder="1" applyAlignment="1" applyProtection="1">
      <alignment horizontal="right" vertical="center" justifyLastLine="1"/>
      <protection locked="0"/>
    </xf>
    <xf numFmtId="4" fontId="5" fillId="0" borderId="9" xfId="1" applyNumberFormat="1" applyFont="1" applyFill="1" applyBorder="1" applyAlignment="1" applyProtection="1">
      <alignment horizontal="right" vertical="center" justifyLastLine="1"/>
      <protection locked="0"/>
    </xf>
    <xf numFmtId="49" fontId="5" fillId="0" borderId="3" xfId="8" applyNumberFormat="1" applyFont="1" applyFill="1" applyBorder="1" applyAlignment="1" applyProtection="1">
      <alignment horizontal="left" vertical="center"/>
      <protection locked="0"/>
    </xf>
    <xf numFmtId="0" fontId="5" fillId="0" borderId="8" xfId="0" applyFont="1" applyBorder="1"/>
    <xf numFmtId="49" fontId="5" fillId="0" borderId="8" xfId="0" quotePrefix="1" applyNumberFormat="1" applyFont="1" applyBorder="1" applyAlignment="1">
      <alignment horizontal="right" vertical="center"/>
    </xf>
    <xf numFmtId="49" fontId="6" fillId="0" borderId="9" xfId="0" applyNumberFormat="1" applyFont="1" applyBorder="1" applyAlignment="1">
      <alignment horizontal="left" vertical="center"/>
    </xf>
    <xf numFmtId="49" fontId="5" fillId="0" borderId="0" xfId="0" applyNumberFormat="1" applyFont="1" applyBorder="1" applyAlignment="1">
      <alignment horizontal="right" vertical="center"/>
    </xf>
    <xf numFmtId="0" fontId="5" fillId="0" borderId="6" xfId="8" applyFont="1" applyBorder="1" applyAlignment="1" applyProtection="1">
      <alignment vertical="center" justifyLastLine="1"/>
      <protection locked="0"/>
    </xf>
    <xf numFmtId="0" fontId="6" fillId="0" borderId="6" xfId="8" applyFont="1" applyBorder="1" applyAlignment="1" applyProtection="1">
      <alignment horizontal="left" vertical="center" justifyLastLine="1"/>
      <protection locked="0"/>
    </xf>
    <xf numFmtId="0" fontId="5" fillId="0" borderId="0" xfId="8" applyFont="1" applyAlignment="1" applyProtection="1">
      <alignment horizontal="center" vertical="center" justifyLastLine="1"/>
      <protection locked="0"/>
    </xf>
    <xf numFmtId="49" fontId="5" fillId="0" borderId="6" xfId="8" applyNumberFormat="1" applyFont="1" applyBorder="1" applyAlignment="1" applyProtection="1">
      <alignment horizontal="center" vertical="center" justifyLastLine="1"/>
      <protection locked="0"/>
    </xf>
    <xf numFmtId="49" fontId="6" fillId="0" borderId="6" xfId="8" applyNumberFormat="1" applyFont="1" applyBorder="1" applyAlignment="1" applyProtection="1">
      <alignment horizontal="center" vertical="center" justifyLastLine="1"/>
      <protection locked="0"/>
    </xf>
    <xf numFmtId="49" fontId="6" fillId="0" borderId="0" xfId="8" applyNumberFormat="1" applyFont="1" applyAlignment="1" applyProtection="1">
      <alignment horizontal="center" vertical="center" justifyLastLine="1"/>
      <protection locked="0"/>
    </xf>
    <xf numFmtId="49" fontId="5" fillId="0" borderId="8" xfId="8" applyNumberFormat="1" applyFont="1" applyBorder="1" applyAlignment="1" applyProtection="1">
      <alignment horizontal="left" vertical="center"/>
      <protection locked="0"/>
    </xf>
    <xf numFmtId="3" fontId="5" fillId="0" borderId="6" xfId="8" applyNumberFormat="1" applyFont="1" applyBorder="1" applyAlignment="1" applyProtection="1">
      <alignment horizontal="right" vertical="center" justifyLastLine="1"/>
      <protection locked="0"/>
    </xf>
    <xf numFmtId="49" fontId="5" fillId="0" borderId="8" xfId="8" applyNumberFormat="1" applyFont="1" applyBorder="1" applyAlignment="1" applyProtection="1">
      <alignment horizontal="left" vertical="center" indent="1" justifyLastLine="1"/>
      <protection locked="0"/>
    </xf>
    <xf numFmtId="0" fontId="5" fillId="0" borderId="0" xfId="8" applyFont="1" applyAlignment="1" applyProtection="1">
      <alignment vertical="center" justifyLastLine="1"/>
      <protection locked="0"/>
    </xf>
    <xf numFmtId="3" fontId="5" fillId="0" borderId="0" xfId="0" quotePrefix="1" applyNumberFormat="1" applyFont="1" applyAlignment="1" applyProtection="1">
      <alignment horizontal="right" vertical="center" justifyLastLine="1"/>
      <protection locked="0"/>
    </xf>
    <xf numFmtId="0" fontId="5" fillId="0" borderId="0" xfId="0" applyFont="1" applyAlignment="1">
      <alignment horizontal="right" vertical="center"/>
    </xf>
    <xf numFmtId="49" fontId="7" fillId="0" borderId="0" xfId="0" quotePrefix="1" applyNumberFormat="1" applyFont="1" applyAlignment="1" applyProtection="1">
      <alignment horizontal="right" vertical="center" justifyLastLine="1"/>
      <protection locked="0"/>
    </xf>
    <xf numFmtId="164" fontId="5" fillId="0" borderId="0" xfId="0" applyNumberFormat="1" applyFont="1" applyAlignment="1">
      <alignment horizontal="right" vertical="center"/>
    </xf>
    <xf numFmtId="1" fontId="5" fillId="0" borderId="0" xfId="0" applyNumberFormat="1" applyFont="1" applyAlignment="1">
      <alignment horizontal="right" vertical="center"/>
    </xf>
    <xf numFmtId="49" fontId="5" fillId="0" borderId="8" xfId="8" applyNumberFormat="1" applyFont="1" applyBorder="1" applyAlignment="1" applyProtection="1">
      <alignment horizontal="left" vertical="center" justifyLastLine="1"/>
      <protection locked="0"/>
    </xf>
    <xf numFmtId="49" fontId="5" fillId="0" borderId="8" xfId="8" applyNumberFormat="1" applyFont="1" applyBorder="1" applyAlignment="1" applyProtection="1">
      <alignment horizontal="left" vertical="center" indent="2" justifyLastLine="1"/>
      <protection locked="0"/>
    </xf>
    <xf numFmtId="3" fontId="5" fillId="0" borderId="8" xfId="0" applyNumberFormat="1" applyFont="1" applyBorder="1" applyAlignment="1">
      <alignment horizontal="right" vertical="center"/>
    </xf>
    <xf numFmtId="1" fontId="5" fillId="0" borderId="8" xfId="0" applyNumberFormat="1" applyFont="1" applyBorder="1" applyAlignment="1">
      <alignment horizontal="right" vertical="center"/>
    </xf>
    <xf numFmtId="0" fontId="5" fillId="0" borderId="8" xfId="0" applyFont="1" applyBorder="1" applyAlignment="1">
      <alignment horizontal="right" vertical="center"/>
    </xf>
    <xf numFmtId="3" fontId="5" fillId="0" borderId="9" xfId="0" quotePrefix="1" applyNumberFormat="1" applyFont="1" applyBorder="1" applyAlignment="1">
      <alignment horizontal="right" vertical="center"/>
    </xf>
    <xf numFmtId="3" fontId="5" fillId="0" borderId="9" xfId="0" applyNumberFormat="1" applyFont="1" applyBorder="1" applyAlignment="1">
      <alignment horizontal="right" vertical="center"/>
    </xf>
    <xf numFmtId="49" fontId="6" fillId="0" borderId="0" xfId="8" applyNumberFormat="1" applyFont="1" applyFill="1" applyBorder="1" applyAlignment="1" applyProtection="1">
      <alignment horizontal="left" vertical="center"/>
      <protection locked="0"/>
    </xf>
    <xf numFmtId="3" fontId="6" fillId="0" borderId="0" xfId="1" applyNumberFormat="1" applyFont="1" applyFill="1" applyBorder="1" applyAlignment="1" applyProtection="1">
      <alignment horizontal="right" vertical="center" justifyLastLine="1"/>
      <protection locked="0"/>
    </xf>
    <xf numFmtId="2" fontId="5" fillId="0" borderId="0" xfId="1" quotePrefix="1" applyNumberFormat="1" applyFont="1" applyFill="1" applyBorder="1" applyAlignment="1" applyProtection="1">
      <alignment horizontal="right" vertical="center" justifyLastLine="1"/>
      <protection locked="0"/>
    </xf>
    <xf numFmtId="49" fontId="6" fillId="0" borderId="0" xfId="8" applyNumberFormat="1" applyFont="1" applyFill="1" applyBorder="1" applyAlignment="1" applyProtection="1">
      <alignment horizontal="left" vertical="center"/>
      <protection locked="0"/>
    </xf>
    <xf numFmtId="3" fontId="5" fillId="0" borderId="10" xfId="0" applyNumberFormat="1" applyFont="1" applyBorder="1" applyAlignment="1">
      <alignment horizontal="right" vertical="center"/>
    </xf>
    <xf numFmtId="49" fontId="5" fillId="0" borderId="8" xfId="8" applyNumberFormat="1" applyFont="1" applyFill="1" applyBorder="1" applyAlignment="1" applyProtection="1">
      <alignment horizontal="left" vertical="center" indent="1" justifyLastLine="1"/>
      <protection locked="0"/>
    </xf>
    <xf numFmtId="49" fontId="5" fillId="0" borderId="0" xfId="1" applyNumberFormat="1" applyFont="1" applyFill="1" applyBorder="1" applyAlignment="1" applyProtection="1">
      <alignment horizontal="right" vertical="center" justifyLastLine="1"/>
      <protection locked="0"/>
    </xf>
    <xf numFmtId="49" fontId="5" fillId="0" borderId="0" xfId="8" applyNumberFormat="1" applyFont="1" applyAlignment="1" applyProtection="1">
      <alignment horizontal="center" vertical="center" justifyLastLine="1"/>
      <protection locked="0"/>
    </xf>
    <xf numFmtId="49" fontId="5" fillId="0" borderId="10" xfId="8" applyNumberFormat="1" applyFont="1" applyBorder="1" applyAlignment="1" applyProtection="1">
      <alignment horizontal="center" vertical="center" justifyLastLine="1"/>
      <protection locked="0"/>
    </xf>
    <xf numFmtId="0" fontId="5" fillId="0" borderId="10" xfId="8" applyFont="1" applyBorder="1" applyAlignment="1" applyProtection="1">
      <alignment horizontal="center" vertical="center" justifyLastLine="1"/>
      <protection locked="0"/>
    </xf>
    <xf numFmtId="49" fontId="6" fillId="0" borderId="10" xfId="8" applyNumberFormat="1" applyFont="1" applyBorder="1" applyAlignment="1" applyProtection="1">
      <alignment horizontal="center" vertical="center" justifyLastLine="1"/>
      <protection locked="0"/>
    </xf>
    <xf numFmtId="0" fontId="5" fillId="0" borderId="10" xfId="8" applyFont="1" applyBorder="1" applyAlignment="1" applyProtection="1">
      <alignment vertical="center" justifyLastLine="1"/>
      <protection locked="0"/>
    </xf>
    <xf numFmtId="0" fontId="14" fillId="0" borderId="0" xfId="0" applyFont="1"/>
    <xf numFmtId="0" fontId="5" fillId="0" borderId="0" xfId="4" applyFont="1"/>
    <xf numFmtId="0" fontId="5" fillId="0" borderId="6" xfId="4" applyFont="1" applyBorder="1" applyAlignment="1" applyProtection="1">
      <alignment vertical="center" justifyLastLine="1"/>
      <protection locked="0"/>
    </xf>
    <xf numFmtId="0" fontId="6" fillId="0" borderId="6" xfId="4" applyFont="1" applyBorder="1" applyAlignment="1" applyProtection="1">
      <alignment horizontal="left" vertical="center" justifyLastLine="1"/>
      <protection locked="0"/>
    </xf>
    <xf numFmtId="0" fontId="5" fillId="0" borderId="0" xfId="4" applyFont="1" applyAlignment="1" applyProtection="1">
      <alignment horizontal="center" vertical="center" justifyLastLine="1"/>
      <protection locked="0"/>
    </xf>
    <xf numFmtId="0" fontId="6" fillId="0" borderId="0" xfId="4" applyFont="1" applyAlignment="1" applyProtection="1">
      <alignment horizontal="center" vertical="center" justifyLastLine="1"/>
      <protection locked="0"/>
    </xf>
    <xf numFmtId="49" fontId="6" fillId="0" borderId="0" xfId="4" applyNumberFormat="1" applyFont="1" applyAlignment="1" applyProtection="1">
      <alignment horizontal="center" vertical="center" justifyLastLine="1"/>
      <protection locked="0"/>
    </xf>
    <xf numFmtId="49" fontId="5" fillId="0" borderId="10" xfId="4" applyNumberFormat="1" applyFont="1" applyBorder="1" applyAlignment="1" applyProtection="1">
      <alignment horizontal="center" vertical="center" justifyLastLine="1"/>
      <protection locked="0"/>
    </xf>
    <xf numFmtId="0" fontId="5" fillId="0" borderId="10" xfId="4" applyFont="1" applyBorder="1" applyAlignment="1" applyProtection="1">
      <alignment horizontal="center" vertical="center" justifyLastLine="1"/>
      <protection locked="0"/>
    </xf>
    <xf numFmtId="0" fontId="6" fillId="0" borderId="10" xfId="4" applyFont="1" applyBorder="1" applyAlignment="1" applyProtection="1">
      <alignment horizontal="center" vertical="center" justifyLastLine="1"/>
      <protection locked="0"/>
    </xf>
    <xf numFmtId="49" fontId="6" fillId="0" borderId="10" xfId="4" applyNumberFormat="1" applyFont="1" applyBorder="1" applyAlignment="1" applyProtection="1">
      <alignment horizontal="center" vertical="center" justifyLastLine="1"/>
      <protection locked="0"/>
    </xf>
    <xf numFmtId="49" fontId="5" fillId="0" borderId="8" xfId="4" applyNumberFormat="1" applyFont="1" applyBorder="1" applyAlignment="1" applyProtection="1">
      <alignment horizontal="left" vertical="center"/>
      <protection locked="0"/>
    </xf>
    <xf numFmtId="3" fontId="5" fillId="0" borderId="6" xfId="4" applyNumberFormat="1" applyFont="1" applyBorder="1" applyAlignment="1" applyProtection="1">
      <alignment horizontal="right" vertical="center" justifyLastLine="1"/>
      <protection locked="0"/>
    </xf>
    <xf numFmtId="49" fontId="5" fillId="0" borderId="8" xfId="4" applyNumberFormat="1" applyFont="1" applyBorder="1" applyAlignment="1" applyProtection="1">
      <alignment horizontal="left" vertical="center" indent="1" justifyLastLine="1"/>
      <protection locked="0"/>
    </xf>
    <xf numFmtId="0" fontId="5" fillId="0" borderId="0" xfId="4" applyFont="1" applyAlignment="1" applyProtection="1">
      <alignment vertical="center" justifyLastLine="1"/>
      <protection locked="0"/>
    </xf>
    <xf numFmtId="3" fontId="5" fillId="0" borderId="0" xfId="4" applyNumberFormat="1" applyFont="1" applyAlignment="1" applyProtection="1">
      <alignment horizontal="right" vertical="center" justifyLastLine="1"/>
      <protection locked="0"/>
    </xf>
    <xf numFmtId="0" fontId="6" fillId="0" borderId="0" xfId="4" applyFont="1" applyAlignment="1" applyProtection="1">
      <alignment horizontal="left" vertical="center" justifyLastLine="1"/>
      <protection locked="0"/>
    </xf>
    <xf numFmtId="3" fontId="5" fillId="0" borderId="0" xfId="4" quotePrefix="1" applyNumberFormat="1" applyFont="1" applyAlignment="1" applyProtection="1">
      <alignment horizontal="right" vertical="center" justifyLastLine="1"/>
      <protection locked="0"/>
    </xf>
    <xf numFmtId="49" fontId="5" fillId="0" borderId="0" xfId="4" quotePrefix="1" applyNumberFormat="1" applyFont="1" applyAlignment="1" applyProtection="1">
      <alignment horizontal="right" vertical="center" justifyLastLine="1"/>
      <protection locked="0"/>
    </xf>
    <xf numFmtId="3" fontId="5" fillId="0" borderId="10" xfId="4" applyNumberFormat="1" applyFont="1" applyBorder="1" applyAlignment="1" applyProtection="1">
      <alignment horizontal="right" vertical="center" justifyLastLine="1"/>
      <protection locked="0"/>
    </xf>
    <xf numFmtId="0" fontId="6" fillId="0" borderId="10" xfId="4" applyFont="1" applyBorder="1" applyAlignment="1" applyProtection="1">
      <alignment horizontal="left" vertical="center" justifyLastLine="1"/>
      <protection locked="0"/>
    </xf>
    <xf numFmtId="49" fontId="5" fillId="0" borderId="8" xfId="4" applyNumberFormat="1" applyFont="1" applyBorder="1" applyAlignment="1" applyProtection="1">
      <alignment horizontal="left" vertical="center" indent="2" justifyLastLine="1"/>
      <protection locked="0"/>
    </xf>
    <xf numFmtId="0" fontId="5" fillId="0" borderId="10" xfId="4" applyFont="1" applyBorder="1" applyAlignment="1" applyProtection="1">
      <alignment vertical="center" justifyLastLine="1"/>
      <protection locked="0"/>
    </xf>
    <xf numFmtId="3" fontId="5" fillId="0" borderId="8" xfId="4" applyNumberFormat="1" applyFont="1" applyBorder="1" applyAlignment="1" applyProtection="1">
      <alignment horizontal="right" vertical="center" justifyLastLine="1"/>
      <protection locked="0"/>
    </xf>
    <xf numFmtId="3" fontId="5" fillId="0" borderId="8" xfId="4" quotePrefix="1" applyNumberFormat="1" applyFont="1" applyBorder="1" applyAlignment="1" applyProtection="1">
      <alignment horizontal="right" vertical="center" justifyLastLine="1"/>
      <protection locked="0"/>
    </xf>
    <xf numFmtId="0" fontId="6" fillId="0" borderId="0" xfId="8" applyFont="1" applyAlignment="1" applyProtection="1">
      <alignment horizontal="left" vertical="center" justifyLastLine="1"/>
      <protection locked="0"/>
    </xf>
    <xf numFmtId="0" fontId="6" fillId="0" borderId="0" xfId="8" applyFont="1" applyAlignment="1" applyProtection="1">
      <alignment horizontal="center" vertical="center" justifyLastLine="1"/>
      <protection locked="0"/>
    </xf>
    <xf numFmtId="0" fontId="6" fillId="0" borderId="10" xfId="8" applyFont="1" applyBorder="1" applyAlignment="1" applyProtection="1">
      <alignment horizontal="center" vertical="center" justifyLastLine="1"/>
      <protection locked="0"/>
    </xf>
    <xf numFmtId="3" fontId="5" fillId="0" borderId="0" xfId="8" applyNumberFormat="1" applyFont="1" applyAlignment="1" applyProtection="1">
      <alignment horizontal="right" vertical="center" justifyLastLine="1"/>
      <protection locked="0"/>
    </xf>
    <xf numFmtId="3" fontId="6" fillId="0" borderId="0" xfId="8" applyNumberFormat="1" applyFont="1" applyAlignment="1" applyProtection="1">
      <alignment horizontal="right" vertical="center" justifyLastLine="1"/>
      <protection locked="0"/>
    </xf>
    <xf numFmtId="164" fontId="5" fillId="0" borderId="0" xfId="0" applyNumberFormat="1" applyFont="1" applyAlignment="1" applyProtection="1">
      <alignment horizontal="right" vertical="center" justifyLastLine="1"/>
      <protection locked="0"/>
    </xf>
    <xf numFmtId="0" fontId="6" fillId="0" borderId="0" xfId="8" applyFont="1" applyAlignment="1" applyProtection="1">
      <alignment horizontal="right" vertical="center" justifyLastLine="1"/>
      <protection locked="0"/>
    </xf>
    <xf numFmtId="164" fontId="5" fillId="0" borderId="0" xfId="8" applyNumberFormat="1" applyFont="1" applyAlignment="1" applyProtection="1">
      <alignment horizontal="right" vertical="center" justifyLastLine="1"/>
      <protection locked="0"/>
    </xf>
    <xf numFmtId="166" fontId="5" fillId="0" borderId="0" xfId="8" applyNumberFormat="1" applyFont="1" applyAlignment="1" applyProtection="1">
      <alignment horizontal="right" vertical="center" justifyLastLine="1"/>
      <protection locked="0"/>
    </xf>
    <xf numFmtId="3" fontId="6" fillId="0" borderId="0" xfId="8" applyNumberFormat="1" applyFont="1" applyAlignment="1" applyProtection="1">
      <alignment horizontal="left" vertical="center" justifyLastLine="1"/>
      <protection locked="0"/>
    </xf>
    <xf numFmtId="49" fontId="5" fillId="0" borderId="0" xfId="0" quotePrefix="1" applyNumberFormat="1" applyFont="1" applyAlignment="1" applyProtection="1">
      <alignment horizontal="right" vertical="center" justifyLastLine="1"/>
      <protection locked="0"/>
    </xf>
    <xf numFmtId="49" fontId="6" fillId="0" borderId="0" xfId="8" applyNumberFormat="1" applyFont="1" applyAlignment="1" applyProtection="1">
      <alignment horizontal="right" vertical="center" justifyLastLine="1"/>
      <protection locked="0"/>
    </xf>
    <xf numFmtId="3" fontId="5" fillId="0" borderId="0" xfId="0" applyNumberFormat="1" applyFont="1" applyAlignment="1" applyProtection="1">
      <alignment horizontal="right" vertical="center" justifyLastLine="1"/>
      <protection locked="0"/>
    </xf>
    <xf numFmtId="4" fontId="5" fillId="0" borderId="0" xfId="8" applyNumberFormat="1" applyFont="1" applyAlignment="1" applyProtection="1">
      <alignment horizontal="right" vertical="center" justifyLastLine="1"/>
      <protection locked="0"/>
    </xf>
    <xf numFmtId="49" fontId="5" fillId="0" borderId="0" xfId="8" applyNumberFormat="1" applyFont="1" applyAlignment="1" applyProtection="1">
      <alignment horizontal="right" vertical="center" justifyLastLine="1"/>
      <protection locked="0"/>
    </xf>
    <xf numFmtId="2" fontId="5" fillId="0" borderId="0" xfId="8" applyNumberFormat="1" applyFont="1" applyAlignment="1" applyProtection="1">
      <alignment horizontal="right" vertical="center" justifyLastLine="1"/>
      <protection locked="0"/>
    </xf>
    <xf numFmtId="49" fontId="6" fillId="0" borderId="0" xfId="8" applyNumberFormat="1" applyFont="1" applyAlignment="1" applyProtection="1">
      <alignment horizontal="left" vertical="center" justifyLastLine="1"/>
      <protection locked="0"/>
    </xf>
    <xf numFmtId="49" fontId="5" fillId="0" borderId="0" xfId="0" applyNumberFormat="1" applyFont="1" applyAlignment="1" applyProtection="1">
      <alignment horizontal="right" vertical="center" justifyLastLine="1"/>
      <protection locked="0"/>
    </xf>
    <xf numFmtId="49" fontId="5" fillId="0" borderId="0" xfId="8" quotePrefix="1" applyNumberFormat="1" applyFont="1" applyAlignment="1" applyProtection="1">
      <alignment horizontal="right" vertical="center" justifyLastLine="1"/>
      <protection locked="0"/>
    </xf>
    <xf numFmtId="2" fontId="5" fillId="0" borderId="0" xfId="8" quotePrefix="1" applyNumberFormat="1" applyFont="1" applyAlignment="1" applyProtection="1">
      <alignment horizontal="right" vertical="center" justifyLastLine="1"/>
      <protection locked="0"/>
    </xf>
    <xf numFmtId="3" fontId="5" fillId="0" borderId="0" xfId="8" quotePrefix="1" applyNumberFormat="1" applyFont="1" applyAlignment="1" applyProtection="1">
      <alignment horizontal="right" vertical="center" justifyLastLine="1"/>
      <protection locked="0"/>
    </xf>
    <xf numFmtId="4" fontId="5" fillId="0" borderId="0" xfId="8" quotePrefix="1" applyNumberFormat="1" applyFont="1" applyAlignment="1" applyProtection="1">
      <alignment horizontal="right" vertical="center" justifyLastLine="1"/>
      <protection locked="0"/>
    </xf>
    <xf numFmtId="4" fontId="5" fillId="0" borderId="0" xfId="0" quotePrefix="1" applyNumberFormat="1" applyFont="1" applyAlignment="1" applyProtection="1">
      <alignment horizontal="right" vertical="center" justifyLastLine="1"/>
      <protection locked="0"/>
    </xf>
    <xf numFmtId="49" fontId="5" fillId="0" borderId="8" xfId="8" applyNumberFormat="1" applyFont="1" applyBorder="1" applyAlignment="1" applyProtection="1">
      <alignment horizontal="left" vertical="center" indent="2"/>
      <protection locked="0"/>
    </xf>
    <xf numFmtId="49" fontId="5" fillId="0" borderId="6" xfId="8" applyNumberFormat="1" applyFont="1" applyBorder="1" applyAlignment="1" applyProtection="1">
      <alignment horizontal="left" vertical="center" indent="1" justifyLastLine="1"/>
      <protection locked="0"/>
    </xf>
    <xf numFmtId="0" fontId="5" fillId="0" borderId="0" xfId="8" applyFont="1" applyAlignment="1">
      <alignment vertical="center" justifyLastLine="1"/>
    </xf>
    <xf numFmtId="1" fontId="5" fillId="0" borderId="0" xfId="8" applyNumberFormat="1" applyFont="1" applyAlignment="1" applyProtection="1">
      <alignment horizontal="right" vertical="center" justifyLastLine="1"/>
      <protection locked="0"/>
    </xf>
    <xf numFmtId="0" fontId="12" fillId="0" borderId="0" xfId="8" applyFont="1" applyAlignment="1">
      <alignment vertical="center" justifyLastLine="1"/>
    </xf>
    <xf numFmtId="1" fontId="5" fillId="0" borderId="0" xfId="8" applyNumberFormat="1" applyFont="1" applyAlignment="1">
      <alignment vertical="center" justifyLastLine="1"/>
    </xf>
    <xf numFmtId="49" fontId="5" fillId="0" borderId="6" xfId="8" applyNumberFormat="1" applyFont="1" applyBorder="1" applyAlignment="1" applyProtection="1">
      <alignment horizontal="left" vertical="center" indent="2" justifyLastLine="1"/>
      <protection locked="0"/>
    </xf>
    <xf numFmtId="1" fontId="6" fillId="0" borderId="0" xfId="8" applyNumberFormat="1" applyFont="1" applyAlignment="1" applyProtection="1">
      <alignment horizontal="left" vertical="center" justifyLastLine="1"/>
      <protection locked="0"/>
    </xf>
    <xf numFmtId="3" fontId="5" fillId="0" borderId="9" xfId="8" applyNumberFormat="1" applyFont="1" applyBorder="1" applyAlignment="1" applyProtection="1">
      <alignment horizontal="right" vertical="center" justifyLastLine="1"/>
      <protection locked="0"/>
    </xf>
    <xf numFmtId="0" fontId="5" fillId="0" borderId="9" xfId="8" applyFont="1" applyBorder="1" applyAlignment="1">
      <alignment vertical="center" justifyLastLine="1"/>
    </xf>
    <xf numFmtId="0" fontId="6" fillId="0" borderId="9" xfId="8" applyFont="1" applyBorder="1" applyAlignment="1" applyProtection="1">
      <alignment horizontal="left" vertical="center" justifyLastLine="1"/>
      <protection locked="0"/>
    </xf>
    <xf numFmtId="2" fontId="5" fillId="0" borderId="9" xfId="8" applyNumberFormat="1" applyFont="1" applyBorder="1" applyAlignment="1" applyProtection="1">
      <alignment horizontal="right" vertical="center" justifyLastLine="1"/>
      <protection locked="0"/>
    </xf>
    <xf numFmtId="0" fontId="6" fillId="0" borderId="10" xfId="8" applyFont="1" applyBorder="1" applyAlignment="1" applyProtection="1">
      <alignment horizontal="left" vertical="center" justifyLastLine="1"/>
      <protection locked="0"/>
    </xf>
    <xf numFmtId="4" fontId="5" fillId="0" borderId="10" xfId="8" applyNumberFormat="1" applyFont="1" applyBorder="1" applyAlignment="1" applyProtection="1">
      <alignment horizontal="right" vertical="center" justifyLastLine="1"/>
      <protection locked="0"/>
    </xf>
    <xf numFmtId="3" fontId="6" fillId="0" borderId="9" xfId="8" applyNumberFormat="1" applyFont="1" applyBorder="1" applyAlignment="1" applyProtection="1">
      <alignment horizontal="right" vertical="center" justifyLastLine="1"/>
      <protection locked="0"/>
    </xf>
    <xf numFmtId="49" fontId="5" fillId="0" borderId="9" xfId="8" applyNumberFormat="1" applyFont="1" applyBorder="1" applyAlignment="1" applyProtection="1">
      <alignment horizontal="right" vertical="center" justifyLastLine="1"/>
      <protection locked="0"/>
    </xf>
    <xf numFmtId="49" fontId="6" fillId="0" borderId="9" xfId="8" applyNumberFormat="1" applyFont="1" applyBorder="1" applyAlignment="1" applyProtection="1">
      <alignment horizontal="left" vertical="center" justifyLastLine="1"/>
      <protection locked="0"/>
    </xf>
    <xf numFmtId="4" fontId="5" fillId="0" borderId="9" xfId="8" applyNumberFormat="1" applyFont="1" applyBorder="1" applyAlignment="1" applyProtection="1">
      <alignment horizontal="right" vertical="center" justifyLastLine="1"/>
      <protection locked="0"/>
    </xf>
    <xf numFmtId="0" fontId="5" fillId="0" borderId="10" xfId="8" applyFont="1" applyBorder="1" applyAlignment="1">
      <alignment vertical="center" justifyLastLine="1"/>
    </xf>
    <xf numFmtId="3" fontId="5" fillId="0" borderId="10" xfId="8" applyNumberFormat="1" applyFont="1" applyBorder="1" applyAlignment="1" applyProtection="1">
      <alignment horizontal="right" vertical="center" justifyLastLine="1"/>
      <protection locked="0"/>
    </xf>
    <xf numFmtId="4" fontId="5" fillId="0" borderId="5" xfId="8" applyNumberFormat="1" applyFont="1" applyBorder="1" applyAlignment="1" applyProtection="1">
      <alignment horizontal="right" vertical="center" justifyLastLine="1"/>
      <protection locked="0"/>
    </xf>
    <xf numFmtId="0" fontId="6" fillId="0" borderId="5" xfId="8" applyFont="1" applyBorder="1" applyAlignment="1" applyProtection="1">
      <alignment horizontal="left" vertical="center" justifyLastLine="1"/>
      <protection locked="0"/>
    </xf>
    <xf numFmtId="49" fontId="5" fillId="0" borderId="10" xfId="8" applyNumberFormat="1" applyFont="1" applyBorder="1" applyAlignment="1" applyProtection="1">
      <alignment horizontal="left" vertical="center"/>
      <protection locked="0"/>
    </xf>
    <xf numFmtId="3" fontId="5" fillId="0" borderId="0" xfId="8" applyNumberFormat="1" applyFont="1" applyAlignment="1">
      <alignment horizontal="right" vertical="center"/>
    </xf>
    <xf numFmtId="49" fontId="6" fillId="0" borderId="9" xfId="8" applyNumberFormat="1" applyFont="1" applyBorder="1" applyAlignment="1" applyProtection="1">
      <alignment horizontal="left" vertical="center"/>
      <protection locked="0"/>
    </xf>
    <xf numFmtId="0" fontId="6" fillId="0" borderId="0" xfId="8" applyFont="1" applyAlignment="1" applyProtection="1">
      <alignment horizontal="right" vertical="center"/>
      <protection locked="0"/>
    </xf>
    <xf numFmtId="49" fontId="7" fillId="0" borderId="0" xfId="8" quotePrefix="1" applyNumberFormat="1" applyFont="1" applyAlignment="1">
      <alignment horizontal="right" vertical="center"/>
    </xf>
    <xf numFmtId="3" fontId="5" fillId="0" borderId="0" xfId="8" quotePrefix="1" applyNumberFormat="1" applyFont="1" applyAlignment="1">
      <alignment horizontal="right" vertical="center"/>
    </xf>
    <xf numFmtId="1" fontId="5" fillId="0" borderId="0" xfId="8" quotePrefix="1" applyNumberFormat="1" applyFont="1" applyAlignment="1">
      <alignment horizontal="right" vertical="center"/>
    </xf>
    <xf numFmtId="3" fontId="5" fillId="0" borderId="9" xfId="8" applyNumberFormat="1" applyFont="1" applyBorder="1" applyAlignment="1" applyProtection="1">
      <alignment horizontal="right" vertical="center"/>
      <protection locked="0"/>
    </xf>
    <xf numFmtId="3" fontId="5" fillId="0" borderId="5" xfId="8" applyNumberFormat="1" applyFont="1" applyBorder="1" applyAlignment="1" applyProtection="1">
      <alignment horizontal="right" vertical="center"/>
      <protection locked="0"/>
    </xf>
    <xf numFmtId="49" fontId="6" fillId="0" borderId="10" xfId="8" applyNumberFormat="1" applyFont="1" applyBorder="1" applyAlignment="1" applyProtection="1">
      <alignment horizontal="left" vertical="center"/>
      <protection locked="0"/>
    </xf>
    <xf numFmtId="0" fontId="6" fillId="0" borderId="9" xfId="8" applyFont="1" applyBorder="1" applyAlignment="1" applyProtection="1">
      <alignment horizontal="right" vertical="center" justifyLastLine="1"/>
      <protection locked="0"/>
    </xf>
    <xf numFmtId="49" fontId="6" fillId="0" borderId="9" xfId="8" applyNumberFormat="1" applyFont="1" applyBorder="1" applyAlignment="1">
      <alignment horizontal="left" vertical="center"/>
    </xf>
    <xf numFmtId="49" fontId="6" fillId="0" borderId="10" xfId="8" applyNumberFormat="1" applyFont="1" applyBorder="1" applyAlignment="1">
      <alignment horizontal="left" vertical="center"/>
    </xf>
    <xf numFmtId="49" fontId="6" fillId="0" borderId="10" xfId="8" applyNumberFormat="1" applyFont="1" applyBorder="1" applyAlignment="1" applyProtection="1">
      <alignment horizontal="left" vertical="center" justifyLastLine="1"/>
      <protection locked="0"/>
    </xf>
    <xf numFmtId="49" fontId="6" fillId="0" borderId="5" xfId="8" applyNumberFormat="1" applyFont="1" applyBorder="1" applyAlignment="1" applyProtection="1">
      <alignment horizontal="left" vertical="center" justifyLastLine="1"/>
      <protection locked="0"/>
    </xf>
    <xf numFmtId="49" fontId="5" fillId="0" borderId="9" xfId="1" applyNumberFormat="1" applyFont="1" applyFill="1" applyBorder="1" applyAlignment="1" applyProtection="1">
      <alignment horizontal="right" vertical="center" justifyLastLine="1"/>
      <protection locked="0"/>
    </xf>
    <xf numFmtId="49" fontId="5" fillId="0" borderId="11" xfId="0" quotePrefix="1" applyNumberFormat="1" applyFont="1" applyBorder="1" applyAlignment="1">
      <alignment horizontal="right" vertical="center"/>
    </xf>
    <xf numFmtId="49" fontId="5" fillId="0" borderId="11" xfId="0" applyNumberFormat="1" applyFont="1" applyBorder="1" applyAlignment="1">
      <alignment horizontal="right" vertical="center"/>
    </xf>
    <xf numFmtId="49" fontId="5" fillId="0" borderId="8" xfId="0" applyNumberFormat="1" applyFont="1" applyBorder="1" applyAlignment="1">
      <alignment horizontal="right" vertical="center"/>
    </xf>
    <xf numFmtId="3" fontId="5" fillId="0" borderId="8" xfId="0" quotePrefix="1" applyNumberFormat="1" applyFont="1" applyBorder="1" applyAlignment="1">
      <alignment horizontal="right" vertical="center"/>
    </xf>
    <xf numFmtId="49" fontId="6" fillId="0" borderId="8" xfId="0" applyNumberFormat="1" applyFont="1" applyBorder="1" applyAlignment="1">
      <alignment horizontal="left" vertical="center"/>
    </xf>
    <xf numFmtId="0" fontId="5" fillId="0" borderId="10" xfId="0" applyFont="1" applyBorder="1"/>
    <xf numFmtId="49" fontId="6" fillId="0" borderId="5" xfId="0" applyNumberFormat="1" applyFont="1" applyBorder="1" applyAlignment="1">
      <alignment horizontal="left" vertical="center"/>
    </xf>
    <xf numFmtId="49" fontId="6" fillId="0" borderId="10" xfId="0" applyNumberFormat="1" applyFont="1" applyBorder="1" applyAlignment="1">
      <alignment horizontal="left" vertical="center"/>
    </xf>
    <xf numFmtId="49" fontId="6" fillId="0" borderId="0" xfId="8" applyNumberFormat="1" applyFont="1" applyAlignment="1" applyProtection="1">
      <alignment horizontal="left" vertical="center"/>
      <protection locked="0"/>
    </xf>
    <xf numFmtId="49" fontId="5" fillId="0" borderId="0" xfId="8" applyNumberFormat="1" applyFont="1" applyAlignment="1" applyProtection="1">
      <alignment horizontal="center" vertical="center" justifyLastLine="1"/>
      <protection locked="0"/>
    </xf>
    <xf numFmtId="49" fontId="0" fillId="0" borderId="0" xfId="0" applyNumberFormat="1" applyAlignment="1">
      <alignment horizontal="left" vertical="center"/>
    </xf>
    <xf numFmtId="49" fontId="5" fillId="0" borderId="0" xfId="4" applyNumberFormat="1" applyFont="1" applyAlignment="1" applyProtection="1">
      <alignment horizontal="center" vertical="center" justifyLastLine="1"/>
      <protection locked="0"/>
    </xf>
    <xf numFmtId="49" fontId="5" fillId="0" borderId="10" xfId="8" applyNumberFormat="1" applyFont="1" applyBorder="1" applyAlignment="1" applyProtection="1">
      <alignment horizontal="center" vertical="center" justifyLastLine="1"/>
      <protection locked="0"/>
    </xf>
    <xf numFmtId="49" fontId="5" fillId="0" borderId="0" xfId="8" applyNumberFormat="1" applyFont="1" applyAlignment="1" applyProtection="1">
      <alignment vertical="center" justifyLastLine="1"/>
      <protection locked="0"/>
    </xf>
    <xf numFmtId="49" fontId="5" fillId="0" borderId="0" xfId="8" applyNumberFormat="1" applyFont="1" applyAlignment="1" applyProtection="1">
      <alignment horizontal="left" vertical="center" indent="1" justifyLastLine="1"/>
      <protection locked="0"/>
    </xf>
    <xf numFmtId="49" fontId="5" fillId="0" borderId="0" xfId="8" applyNumberFormat="1" applyFont="1" applyAlignment="1" applyProtection="1">
      <alignment horizontal="left" vertical="center" indent="2" justifyLastLine="1"/>
      <protection locked="0"/>
    </xf>
    <xf numFmtId="49" fontId="5" fillId="0" borderId="8" xfId="8" applyNumberFormat="1" applyFont="1" applyBorder="1" applyAlignment="1" applyProtection="1">
      <alignment horizontal="left" vertical="center" indent="3" justifyLastLine="1"/>
      <protection locked="0"/>
    </xf>
    <xf numFmtId="49" fontId="5" fillId="0" borderId="0" xfId="8" applyNumberFormat="1" applyFont="1" applyAlignment="1" applyProtection="1">
      <alignment horizontal="left" vertical="center" indent="3" justifyLastLine="1"/>
      <protection locked="0"/>
    </xf>
    <xf numFmtId="49" fontId="5" fillId="0" borderId="8" xfId="8" applyNumberFormat="1" applyFont="1" applyBorder="1" applyAlignment="1" applyProtection="1">
      <alignment horizontal="left" vertical="center" indent="4" justifyLastLine="1"/>
      <protection locked="0"/>
    </xf>
    <xf numFmtId="49" fontId="5" fillId="0" borderId="0" xfId="8" applyNumberFormat="1" applyFont="1" applyAlignment="1" applyProtection="1">
      <alignment horizontal="left" vertical="center" indent="4" justifyLastLine="1"/>
      <protection locked="0"/>
    </xf>
    <xf numFmtId="49" fontId="5" fillId="0" borderId="8" xfId="8" applyNumberFormat="1" applyFont="1" applyBorder="1" applyAlignment="1" applyProtection="1">
      <alignment horizontal="left" vertical="center" indent="1"/>
      <protection locked="0"/>
    </xf>
    <xf numFmtId="49" fontId="5" fillId="0" borderId="0" xfId="8" applyNumberFormat="1" applyFont="1" applyAlignment="1" applyProtection="1">
      <alignment horizontal="right" vertical="center"/>
      <protection locked="0"/>
    </xf>
    <xf numFmtId="49" fontId="5" fillId="0" borderId="0" xfId="8" applyNumberFormat="1" applyFont="1" applyAlignment="1" applyProtection="1">
      <alignment horizontal="left" vertical="center" indent="1"/>
      <protection locked="0"/>
    </xf>
    <xf numFmtId="49" fontId="5" fillId="0" borderId="8" xfId="8" applyNumberFormat="1" applyFont="1" applyBorder="1" applyAlignment="1" applyProtection="1">
      <alignment horizontal="right" vertical="center"/>
      <protection locked="0"/>
    </xf>
    <xf numFmtId="49" fontId="5" fillId="0" borderId="8" xfId="8" applyNumberFormat="1" applyFont="1" applyBorder="1" applyAlignment="1" applyProtection="1">
      <alignment vertical="center" justifyLastLine="1"/>
      <protection locked="0"/>
    </xf>
    <xf numFmtId="49" fontId="5" fillId="0" borderId="10" xfId="8" applyNumberFormat="1" applyFont="1" applyBorder="1" applyAlignment="1" applyProtection="1">
      <alignment horizontal="left" vertical="center" indent="1"/>
      <protection locked="0"/>
    </xf>
    <xf numFmtId="49" fontId="5" fillId="0" borderId="6" xfId="8" applyNumberFormat="1" applyFont="1" applyBorder="1" applyAlignment="1" applyProtection="1">
      <alignment horizontal="left" vertical="center" indent="2"/>
      <protection locked="0"/>
    </xf>
    <xf numFmtId="49" fontId="5" fillId="0" borderId="0" xfId="8" applyNumberFormat="1" applyFont="1" applyAlignment="1" applyProtection="1">
      <alignment horizontal="left" vertical="center" indent="2"/>
      <protection locked="0"/>
    </xf>
    <xf numFmtId="49" fontId="5" fillId="0" borderId="6" xfId="8" applyNumberFormat="1" applyFont="1" applyBorder="1" applyAlignment="1" applyProtection="1">
      <alignment horizontal="left" vertical="center" justifyLastLine="1"/>
      <protection locked="0"/>
    </xf>
    <xf numFmtId="49" fontId="5" fillId="0" borderId="0" xfId="8" applyNumberFormat="1" applyFont="1" applyAlignment="1" applyProtection="1">
      <alignment horizontal="left" vertical="center" justifyLastLine="1"/>
      <protection locked="0"/>
    </xf>
    <xf numFmtId="49" fontId="5" fillId="0" borderId="10" xfId="8" applyNumberFormat="1" applyFont="1" applyBorder="1" applyAlignment="1" applyProtection="1">
      <alignment horizontal="left" vertical="center" indent="2"/>
      <protection locked="0"/>
    </xf>
    <xf numFmtId="49" fontId="6" fillId="0" borderId="8" xfId="8" applyNumberFormat="1" applyFont="1" applyBorder="1" applyAlignment="1" applyProtection="1">
      <alignment horizontal="center" vertical="center" justifyLastLine="1"/>
      <protection locked="0"/>
    </xf>
    <xf numFmtId="49" fontId="6" fillId="0" borderId="6" xfId="8" applyNumberFormat="1" applyFont="1" applyBorder="1" applyAlignment="1" applyProtection="1">
      <alignment horizontal="left" vertical="center" justifyLastLine="1"/>
      <protection locked="0"/>
    </xf>
    <xf numFmtId="49" fontId="8" fillId="0" borderId="8" xfId="8" applyNumberFormat="1" applyFont="1" applyBorder="1" applyAlignment="1" applyProtection="1">
      <alignment horizontal="left" vertical="center"/>
      <protection locked="0"/>
    </xf>
    <xf numFmtId="49" fontId="8" fillId="0" borderId="6" xfId="8" applyNumberFormat="1" applyFont="1" applyBorder="1" applyAlignment="1" applyProtection="1">
      <alignment horizontal="left" vertical="center"/>
      <protection locked="0"/>
    </xf>
    <xf numFmtId="0" fontId="5" fillId="0" borderId="6" xfId="8" applyFont="1" applyBorder="1" applyAlignment="1" applyProtection="1">
      <alignment horizontal="center" vertical="center" justifyLastLine="1"/>
      <protection locked="0"/>
    </xf>
    <xf numFmtId="0" fontId="6" fillId="0" borderId="6" xfId="8" applyFont="1" applyBorder="1" applyAlignment="1" applyProtection="1">
      <alignment horizontal="center" vertical="center" justifyLastLine="1"/>
      <protection locked="0"/>
    </xf>
    <xf numFmtId="3" fontId="5" fillId="0" borderId="0" xfId="8" applyNumberFormat="1" applyFont="1" applyAlignment="1">
      <alignment horizontal="right" vertical="center" justifyLastLine="1"/>
    </xf>
    <xf numFmtId="3" fontId="5" fillId="0" borderId="8" xfId="8" applyNumberFormat="1" applyFont="1" applyBorder="1" applyAlignment="1" applyProtection="1">
      <alignment horizontal="right" vertical="center" justifyLastLine="1"/>
      <protection locked="0"/>
    </xf>
    <xf numFmtId="0" fontId="6" fillId="0" borderId="0" xfId="8" applyFont="1" applyAlignment="1" applyProtection="1">
      <alignment vertical="center" justifyLastLine="1"/>
      <protection locked="0"/>
    </xf>
    <xf numFmtId="3" fontId="5" fillId="0" borderId="0" xfId="4" applyNumberFormat="1" applyFont="1" applyAlignment="1" applyProtection="1">
      <alignment horizontal="right" vertical="center"/>
      <protection locked="0"/>
    </xf>
    <xf numFmtId="49" fontId="5" fillId="0" borderId="0" xfId="4" quotePrefix="1" applyNumberFormat="1" applyFont="1" applyAlignment="1" applyProtection="1">
      <alignment horizontal="right" vertical="center"/>
      <protection locked="0"/>
    </xf>
    <xf numFmtId="0" fontId="5" fillId="0" borderId="0" xfId="4" applyFont="1" applyAlignment="1" applyProtection="1">
      <alignment horizontal="left" vertical="center" justifyLastLine="1"/>
      <protection locked="0"/>
    </xf>
    <xf numFmtId="0" fontId="5" fillId="0" borderId="6" xfId="8" applyFont="1" applyBorder="1" applyAlignment="1">
      <alignment vertical="center" justifyLastLine="1"/>
    </xf>
    <xf numFmtId="0" fontId="6" fillId="0" borderId="6" xfId="8" applyFont="1" applyBorder="1" applyAlignment="1">
      <alignment horizontal="left" vertical="center" justifyLastLine="1"/>
    </xf>
    <xf numFmtId="49" fontId="5" fillId="0" borderId="10" xfId="8" applyNumberFormat="1" applyFont="1" applyBorder="1" applyAlignment="1">
      <alignment horizontal="center" vertical="center" justifyLastLine="1"/>
    </xf>
    <xf numFmtId="0" fontId="6" fillId="0" borderId="4" xfId="8" applyFont="1" applyBorder="1" applyAlignment="1">
      <alignment horizontal="center" vertical="center" justifyLastLine="1"/>
    </xf>
    <xf numFmtId="49" fontId="5" fillId="0" borderId="4" xfId="8" applyNumberFormat="1" applyFont="1" applyBorder="1" applyAlignment="1">
      <alignment horizontal="center" vertical="center" justifyLastLine="1"/>
    </xf>
    <xf numFmtId="49" fontId="5" fillId="0" borderId="8" xfId="8" applyNumberFormat="1" applyFont="1" applyBorder="1" applyAlignment="1">
      <alignment horizontal="left" vertical="center"/>
    </xf>
    <xf numFmtId="0" fontId="6" fillId="0" borderId="0" xfId="8" applyFont="1" applyAlignment="1">
      <alignment horizontal="left" vertical="center" justifyLastLine="1"/>
    </xf>
    <xf numFmtId="0" fontId="5" fillId="0" borderId="0" xfId="0" applyFont="1" applyAlignment="1">
      <alignment vertical="center"/>
    </xf>
    <xf numFmtId="0" fontId="7" fillId="0" borderId="0" xfId="0" applyFont="1" applyAlignment="1">
      <alignment horizontal="right" vertical="center"/>
    </xf>
    <xf numFmtId="3" fontId="5" fillId="0" borderId="0" xfId="0" applyNumberFormat="1" applyFont="1" applyAlignment="1">
      <alignment vertical="center"/>
    </xf>
    <xf numFmtId="0" fontId="7" fillId="0" borderId="0" xfId="0" quotePrefix="1" applyFont="1" applyAlignment="1">
      <alignment horizontal="right" vertical="center"/>
    </xf>
    <xf numFmtId="1" fontId="5" fillId="0" borderId="0" xfId="0" quotePrefix="1" applyNumberFormat="1" applyFont="1" applyAlignment="1">
      <alignment horizontal="right" vertical="center"/>
    </xf>
    <xf numFmtId="49" fontId="6" fillId="0" borderId="10" xfId="8" applyNumberFormat="1" applyFont="1" applyBorder="1" applyAlignment="1">
      <alignment horizontal="left" vertical="center" justifyLastLine="1"/>
    </xf>
    <xf numFmtId="49" fontId="5" fillId="0" borderId="8" xfId="8" applyNumberFormat="1" applyFont="1" applyBorder="1" applyAlignment="1">
      <alignment horizontal="left" vertical="center" indent="1" justifyLastLine="1"/>
    </xf>
    <xf numFmtId="0" fontId="6" fillId="0" borderId="10" xfId="8" applyFont="1" applyBorder="1" applyAlignment="1">
      <alignment horizontal="left" vertical="center" justifyLastLine="1"/>
    </xf>
    <xf numFmtId="3" fontId="5" fillId="0" borderId="8" xfId="8" applyNumberFormat="1" applyFont="1" applyBorder="1" applyAlignment="1">
      <alignment horizontal="right" vertical="center" justifyLastLine="1"/>
    </xf>
    <xf numFmtId="49" fontId="6" fillId="0" borderId="8" xfId="8" applyNumberFormat="1" applyFont="1" applyBorder="1" applyAlignment="1">
      <alignment horizontal="left" vertical="center" justifyLastLine="1"/>
    </xf>
    <xf numFmtId="3" fontId="5" fillId="0" borderId="9" xfId="8" quotePrefix="1" applyNumberFormat="1" applyFont="1" applyBorder="1" applyAlignment="1" applyProtection="1">
      <alignment horizontal="right" vertical="center" justifyLastLine="1"/>
      <protection locked="0"/>
    </xf>
    <xf numFmtId="49" fontId="5" fillId="0" borderId="0" xfId="8" quotePrefix="1" applyNumberFormat="1" applyFont="1" applyAlignment="1">
      <alignment horizontal="right" vertical="center"/>
    </xf>
    <xf numFmtId="0" fontId="6" fillId="0" borderId="11" xfId="8" applyFont="1" applyBorder="1" applyAlignment="1" applyProtection="1">
      <alignment horizontal="right" vertical="center"/>
      <protection locked="0"/>
    </xf>
    <xf numFmtId="49" fontId="5" fillId="0" borderId="10" xfId="0" quotePrefix="1" applyNumberFormat="1" applyFont="1" applyBorder="1" applyAlignment="1">
      <alignment horizontal="right" vertical="center"/>
    </xf>
    <xf numFmtId="49" fontId="5" fillId="0" borderId="10" xfId="0" applyNumberFormat="1" applyFont="1" applyBorder="1" applyAlignment="1">
      <alignment horizontal="right" vertical="center"/>
    </xf>
    <xf numFmtId="0" fontId="6" fillId="0" borderId="10" xfId="8" applyFont="1" applyBorder="1" applyAlignment="1" applyProtection="1">
      <alignment horizontal="right" vertical="center"/>
      <protection locked="0"/>
    </xf>
    <xf numFmtId="3" fontId="5" fillId="0" borderId="10" xfId="0" quotePrefix="1" applyNumberFormat="1" applyFont="1" applyBorder="1" applyAlignment="1">
      <alignment horizontal="right" vertical="center"/>
    </xf>
    <xf numFmtId="0" fontId="6" fillId="0" borderId="8" xfId="8" applyFont="1" applyBorder="1" applyAlignment="1" applyProtection="1">
      <alignment horizontal="right" vertical="center"/>
      <protection locked="0"/>
    </xf>
    <xf numFmtId="3" fontId="5" fillId="0" borderId="10" xfId="8" applyNumberFormat="1" applyFont="1" applyBorder="1" applyAlignment="1" applyProtection="1">
      <alignment horizontal="right" vertical="center"/>
      <protection locked="0"/>
    </xf>
    <xf numFmtId="0" fontId="0" fillId="0" borderId="0" xfId="0" applyAlignment="1">
      <alignment horizontal="left" vertical="center"/>
    </xf>
    <xf numFmtId="49" fontId="5" fillId="0" borderId="0" xfId="8" applyNumberFormat="1" applyFont="1" applyAlignment="1" applyProtection="1">
      <alignment horizontal="left" vertical="center"/>
      <protection locked="0"/>
    </xf>
    <xf numFmtId="49" fontId="5" fillId="0" borderId="10" xfId="8" applyNumberFormat="1" applyFont="1" applyBorder="1" applyAlignment="1" applyProtection="1">
      <alignment horizontal="center" vertical="center" justifyLastLine="1"/>
      <protection locked="0"/>
    </xf>
    <xf numFmtId="49" fontId="5" fillId="0" borderId="8" xfId="8" applyNumberFormat="1" applyFont="1" applyBorder="1" applyAlignment="1" applyProtection="1">
      <alignment horizontal="center" vertical="center" justifyLastLine="1"/>
      <protection locked="0"/>
    </xf>
    <xf numFmtId="49" fontId="6" fillId="0" borderId="0" xfId="8" applyNumberFormat="1" applyFont="1" applyAlignment="1" applyProtection="1">
      <alignment horizontal="left" vertical="center"/>
      <protection locked="0"/>
    </xf>
    <xf numFmtId="49" fontId="5" fillId="0" borderId="0" xfId="8" applyNumberFormat="1" applyFont="1" applyAlignment="1" applyProtection="1">
      <alignment horizontal="center" vertical="center" justifyLastLine="1"/>
      <protection locked="0"/>
    </xf>
    <xf numFmtId="49" fontId="5" fillId="0" borderId="10" xfId="8" applyNumberFormat="1" applyFont="1" applyBorder="1" applyAlignment="1" applyProtection="1">
      <alignment horizontal="center" vertical="center" justifyLastLine="1"/>
      <protection locked="0"/>
    </xf>
    <xf numFmtId="49" fontId="6" fillId="0" borderId="0" xfId="8" applyNumberFormat="1" applyFont="1" applyAlignment="1">
      <alignment horizontal="left" vertical="center"/>
    </xf>
    <xf numFmtId="0" fontId="16" fillId="0" borderId="0" xfId="10" applyFont="1" applyAlignment="1">
      <alignment vertical="center"/>
    </xf>
    <xf numFmtId="0" fontId="16" fillId="0" borderId="0" xfId="10" applyFont="1"/>
    <xf numFmtId="49" fontId="16" fillId="0" borderId="8" xfId="10" applyNumberFormat="1" applyFont="1" applyBorder="1" applyAlignment="1">
      <alignment horizontal="center" vertical="center"/>
    </xf>
    <xf numFmtId="49" fontId="16" fillId="0" borderId="8" xfId="10" applyNumberFormat="1" applyFont="1" applyBorder="1" applyAlignment="1">
      <alignment vertical="center"/>
    </xf>
    <xf numFmtId="49" fontId="16" fillId="0" borderId="8" xfId="11" applyNumberFormat="1" applyFont="1" applyBorder="1" applyAlignment="1">
      <alignment horizontal="right" vertical="center"/>
    </xf>
    <xf numFmtId="49" fontId="17" fillId="0" borderId="8" xfId="10" applyNumberFormat="1" applyFont="1" applyBorder="1" applyAlignment="1">
      <alignment horizontal="left" vertical="center"/>
    </xf>
    <xf numFmtId="49" fontId="16" fillId="0" borderId="10" xfId="10" applyNumberFormat="1" applyFont="1" applyBorder="1" applyAlignment="1">
      <alignment horizontal="left" vertical="center"/>
    </xf>
    <xf numFmtId="0" fontId="17" fillId="0" borderId="0" xfId="10" applyFont="1" applyAlignment="1">
      <alignment horizontal="left" vertical="center"/>
    </xf>
    <xf numFmtId="3" fontId="16" fillId="0" borderId="0" xfId="11" applyNumberFormat="1" applyFont="1" applyAlignment="1">
      <alignment horizontal="right" vertical="center"/>
    </xf>
    <xf numFmtId="49" fontId="16" fillId="0" borderId="8" xfId="10" applyNumberFormat="1" applyFont="1" applyBorder="1" applyAlignment="1">
      <alignment horizontal="left" vertical="center"/>
    </xf>
    <xf numFmtId="3" fontId="16" fillId="0" borderId="0" xfId="11" applyNumberFormat="1" applyFont="1" applyFill="1" applyAlignment="1">
      <alignment horizontal="right" vertical="center"/>
    </xf>
    <xf numFmtId="49" fontId="16" fillId="0" borderId="8" xfId="10" applyNumberFormat="1" applyFont="1" applyBorder="1" applyAlignment="1">
      <alignment horizontal="left" vertical="center" indent="1"/>
    </xf>
    <xf numFmtId="49" fontId="16" fillId="0" borderId="0" xfId="11" applyNumberFormat="1" applyFont="1" applyAlignment="1">
      <alignment horizontal="right" vertical="center"/>
    </xf>
    <xf numFmtId="3" fontId="16" fillId="0" borderId="8" xfId="11" applyNumberFormat="1" applyFont="1" applyBorder="1" applyAlignment="1">
      <alignment horizontal="right" vertical="center"/>
    </xf>
    <xf numFmtId="0" fontId="16" fillId="0" borderId="0" xfId="10" applyFont="1" applyAlignment="1">
      <alignment horizontal="left" vertical="center" wrapText="1"/>
    </xf>
    <xf numFmtId="0" fontId="16" fillId="0" borderId="0" xfId="10" applyFont="1" applyAlignment="1">
      <alignment horizontal="left" vertical="center"/>
    </xf>
    <xf numFmtId="165" fontId="16" fillId="0" borderId="0" xfId="11" applyNumberFormat="1" applyFont="1" applyAlignment="1">
      <alignment horizontal="right"/>
    </xf>
    <xf numFmtId="49" fontId="6" fillId="0" borderId="0" xfId="8" applyNumberFormat="1" applyFont="1" applyAlignment="1" applyProtection="1">
      <alignment horizontal="left" vertical="center"/>
      <protection locked="0"/>
    </xf>
    <xf numFmtId="49" fontId="5" fillId="0" borderId="6" xfId="8" applyNumberFormat="1" applyFont="1" applyBorder="1" applyAlignment="1" applyProtection="1">
      <alignment horizontal="left" vertical="center"/>
      <protection locked="0"/>
    </xf>
    <xf numFmtId="49" fontId="5" fillId="0" borderId="10" xfId="8" applyNumberFormat="1" applyFont="1" applyBorder="1" applyAlignment="1" applyProtection="1">
      <alignment horizontal="center" vertical="center" justifyLastLine="1"/>
      <protection locked="0"/>
    </xf>
    <xf numFmtId="49" fontId="6" fillId="0" borderId="0" xfId="8" applyNumberFormat="1" applyFont="1" applyAlignment="1">
      <alignment horizontal="left" vertical="center" justifyLastLine="1"/>
    </xf>
    <xf numFmtId="0" fontId="5" fillId="0" borderId="9" xfId="0" applyFont="1" applyBorder="1"/>
    <xf numFmtId="3" fontId="5" fillId="0" borderId="8" xfId="8" quotePrefix="1" applyNumberFormat="1" applyFont="1" applyBorder="1" applyAlignment="1">
      <alignment horizontal="right" vertical="center"/>
    </xf>
    <xf numFmtId="49" fontId="17" fillId="0" borderId="0" xfId="10" applyNumberFormat="1" applyFont="1" applyAlignment="1">
      <alignment horizontal="left" vertical="center"/>
    </xf>
    <xf numFmtId="49" fontId="6" fillId="0" borderId="0" xfId="8" applyNumberFormat="1" applyFont="1" applyAlignment="1" applyProtection="1">
      <alignment horizontal="left" vertical="center" wrapText="1"/>
      <protection locked="0"/>
    </xf>
    <xf numFmtId="0" fontId="0" fillId="0" borderId="0" xfId="0" applyAlignment="1">
      <alignment horizontal="left" vertical="center" wrapText="1"/>
    </xf>
    <xf numFmtId="0" fontId="0" fillId="0" borderId="0" xfId="0"/>
    <xf numFmtId="49" fontId="6" fillId="0" borderId="0" xfId="8" applyNumberFormat="1" applyFont="1" applyAlignment="1" applyProtection="1">
      <alignment horizontal="left" vertical="center"/>
      <protection locked="0"/>
    </xf>
    <xf numFmtId="0" fontId="0" fillId="0" borderId="0" xfId="0" applyAlignment="1">
      <alignment horizontal="left" vertical="center"/>
    </xf>
    <xf numFmtId="49" fontId="5" fillId="0" borderId="0" xfId="0" applyNumberFormat="1" applyFont="1" applyAlignment="1">
      <alignment horizontal="left" vertical="center"/>
    </xf>
    <xf numFmtId="49" fontId="5" fillId="0" borderId="0" xfId="8" applyNumberFormat="1" applyFont="1" applyAlignment="1" applyProtection="1">
      <alignment horizontal="center" vertical="center"/>
      <protection locked="0"/>
    </xf>
    <xf numFmtId="0" fontId="0" fillId="0" borderId="0" xfId="0" applyAlignment="1">
      <alignment horizontal="center" vertical="center"/>
    </xf>
    <xf numFmtId="49" fontId="5" fillId="0" borderId="10" xfId="8" applyNumberFormat="1" applyFont="1" applyBorder="1" applyAlignment="1" applyProtection="1">
      <alignment horizontal="center" vertical="center"/>
      <protection locked="0"/>
    </xf>
    <xf numFmtId="0" fontId="0" fillId="0" borderId="10" xfId="0" applyBorder="1"/>
    <xf numFmtId="49" fontId="5" fillId="0" borderId="6" xfId="8" applyNumberFormat="1" applyFont="1" applyBorder="1" applyAlignment="1" applyProtection="1">
      <alignment horizontal="left" vertical="center"/>
      <protection locked="0"/>
    </xf>
    <xf numFmtId="0" fontId="0" fillId="0" borderId="6" xfId="0" applyBorder="1" applyAlignment="1">
      <alignment horizontal="left" vertical="center"/>
    </xf>
    <xf numFmtId="0" fontId="0" fillId="0" borderId="6" xfId="0" applyBorder="1"/>
    <xf numFmtId="49" fontId="5" fillId="0" borderId="0" xfId="0" applyNumberFormat="1" applyFont="1" applyAlignment="1">
      <alignment horizontal="left" vertical="center" wrapText="1"/>
    </xf>
    <xf numFmtId="49" fontId="0" fillId="0" borderId="0" xfId="0" applyNumberFormat="1" applyAlignment="1">
      <alignment horizontal="left" vertical="center" wrapText="1"/>
    </xf>
    <xf numFmtId="49" fontId="5" fillId="0" borderId="0" xfId="8" applyNumberFormat="1" applyFont="1" applyAlignment="1" applyProtection="1">
      <alignment horizontal="center" vertical="center" justifyLastLine="1"/>
      <protection locked="0"/>
    </xf>
    <xf numFmtId="49" fontId="0" fillId="0" borderId="10" xfId="0" applyNumberFormat="1" applyBorder="1" applyAlignment="1">
      <alignment horizontal="center" vertical="center"/>
    </xf>
    <xf numFmtId="49" fontId="5" fillId="0" borderId="8" xfId="8" quotePrefix="1" applyNumberFormat="1" applyFont="1" applyBorder="1" applyAlignment="1" applyProtection="1">
      <alignment horizontal="center" vertical="center"/>
      <protection locked="0"/>
    </xf>
    <xf numFmtId="49" fontId="0" fillId="0" borderId="8" xfId="0" applyNumberFormat="1" applyBorder="1" applyAlignment="1">
      <alignment horizontal="center" vertical="center"/>
    </xf>
    <xf numFmtId="49" fontId="0" fillId="0" borderId="6" xfId="0" applyNumberFormat="1" applyBorder="1" applyAlignment="1">
      <alignment horizontal="left" vertical="center"/>
    </xf>
    <xf numFmtId="0" fontId="0" fillId="0" borderId="8" xfId="0" applyBorder="1" applyAlignment="1">
      <alignment horizontal="center" vertical="center"/>
    </xf>
    <xf numFmtId="49" fontId="5" fillId="0" borderId="6" xfId="8" applyNumberFormat="1" applyFont="1" applyBorder="1" applyAlignment="1" applyProtection="1">
      <alignment horizontal="left" vertical="center" wrapText="1"/>
      <protection locked="0"/>
    </xf>
    <xf numFmtId="49" fontId="0" fillId="0" borderId="6" xfId="0" applyNumberFormat="1" applyBorder="1" applyAlignment="1">
      <alignment horizontal="left" vertical="center" wrapText="1"/>
    </xf>
    <xf numFmtId="49" fontId="5" fillId="0" borderId="0" xfId="8" applyNumberFormat="1" applyFont="1" applyAlignment="1" applyProtection="1">
      <alignment horizontal="left" vertical="center" wrapText="1"/>
      <protection locked="0"/>
    </xf>
    <xf numFmtId="49" fontId="5" fillId="0" borderId="0" xfId="4" applyNumberFormat="1" applyFont="1" applyAlignment="1">
      <alignment horizontal="left" vertical="center"/>
    </xf>
    <xf numFmtId="49" fontId="0" fillId="0" borderId="0" xfId="0" applyNumberFormat="1" applyAlignment="1">
      <alignment horizontal="left" vertical="center"/>
    </xf>
    <xf numFmtId="49" fontId="5" fillId="0" borderId="0" xfId="4" applyNumberFormat="1" applyFont="1" applyAlignment="1" applyProtection="1">
      <alignment horizontal="center" vertical="center" justifyLastLine="1"/>
      <protection locked="0"/>
    </xf>
    <xf numFmtId="49" fontId="5" fillId="0" borderId="10" xfId="4" applyNumberFormat="1" applyFont="1" applyBorder="1" applyAlignment="1" applyProtection="1">
      <alignment horizontal="center" vertical="center"/>
      <protection locked="0"/>
    </xf>
    <xf numFmtId="49" fontId="5" fillId="0" borderId="8" xfId="4" applyNumberFormat="1" applyFont="1" applyBorder="1" applyAlignment="1" applyProtection="1">
      <alignment horizontal="center" vertical="center"/>
      <protection locked="0"/>
    </xf>
    <xf numFmtId="49" fontId="5" fillId="0" borderId="6" xfId="4" applyNumberFormat="1" applyFont="1" applyBorder="1" applyAlignment="1" applyProtection="1">
      <alignment horizontal="left" vertical="center" justifyLastLine="1"/>
      <protection locked="0"/>
    </xf>
    <xf numFmtId="49" fontId="5" fillId="0" borderId="0" xfId="8" applyNumberFormat="1" applyFont="1" applyAlignment="1" applyProtection="1">
      <alignment horizontal="left" vertical="center"/>
      <protection locked="0"/>
    </xf>
    <xf numFmtId="49" fontId="5" fillId="0" borderId="0" xfId="8" applyNumberFormat="1" applyFont="1" applyAlignment="1">
      <alignment horizontal="center" vertical="center"/>
    </xf>
    <xf numFmtId="49" fontId="5" fillId="0" borderId="10" xfId="8" applyNumberFormat="1" applyFont="1" applyBorder="1" applyAlignment="1">
      <alignment horizontal="center" vertical="center"/>
    </xf>
    <xf numFmtId="49" fontId="5" fillId="0" borderId="10" xfId="8" applyNumberFormat="1" applyFont="1" applyBorder="1" applyAlignment="1" applyProtection="1">
      <alignment horizontal="center" vertical="center" justifyLastLine="1"/>
      <protection locked="0"/>
    </xf>
    <xf numFmtId="49" fontId="15" fillId="0" borderId="10" xfId="0" applyNumberFormat="1" applyFont="1" applyBorder="1" applyAlignment="1">
      <alignment horizontal="center" vertical="center"/>
    </xf>
    <xf numFmtId="49" fontId="5" fillId="0" borderId="8" xfId="8" applyNumberFormat="1" applyFont="1" applyBorder="1" applyAlignment="1" applyProtection="1">
      <alignment horizontal="center" vertical="center" justifyLastLine="1"/>
      <protection locked="0"/>
    </xf>
    <xf numFmtId="49" fontId="5" fillId="0" borderId="8" xfId="8" applyNumberFormat="1" applyFont="1" applyBorder="1" applyAlignment="1" applyProtection="1">
      <alignment horizontal="center" vertical="center"/>
      <protection locked="0"/>
    </xf>
    <xf numFmtId="49" fontId="15" fillId="0" borderId="8" xfId="0" applyNumberFormat="1" applyFont="1" applyBorder="1" applyAlignment="1">
      <alignment horizontal="center" vertical="center"/>
    </xf>
    <xf numFmtId="49" fontId="5" fillId="0" borderId="0" xfId="0" quotePrefix="1" applyNumberFormat="1" applyFont="1" applyAlignment="1">
      <alignment horizontal="left" vertical="center"/>
    </xf>
    <xf numFmtId="49" fontId="5" fillId="0" borderId="0" xfId="8" applyNumberFormat="1" applyFont="1" applyFill="1" applyBorder="1" applyAlignment="1" applyProtection="1">
      <alignment horizontal="center" vertical="center" justifyLastLine="1"/>
      <protection locked="0"/>
    </xf>
    <xf numFmtId="49" fontId="5" fillId="0" borderId="2" xfId="4" applyNumberFormat="1" applyFont="1" applyBorder="1" applyAlignment="1" applyProtection="1">
      <alignment horizontal="left" vertical="center" justifyLastLine="1"/>
      <protection locked="0"/>
    </xf>
    <xf numFmtId="49" fontId="6" fillId="0" borderId="0" xfId="8" applyNumberFormat="1" applyFont="1" applyFill="1" applyAlignment="1" applyProtection="1">
      <alignment horizontal="left" vertical="center" wrapText="1"/>
      <protection locked="0"/>
    </xf>
    <xf numFmtId="49" fontId="5" fillId="0" borderId="0" xfId="8" applyNumberFormat="1" applyFont="1" applyFill="1" applyBorder="1" applyAlignment="1" applyProtection="1">
      <alignment horizontal="center" vertical="center"/>
      <protection locked="0"/>
    </xf>
    <xf numFmtId="49" fontId="5" fillId="0" borderId="7" xfId="8" applyNumberFormat="1" applyFont="1" applyFill="1" applyBorder="1" applyAlignment="1" applyProtection="1">
      <alignment horizontal="center" vertical="center"/>
      <protection locked="0"/>
    </xf>
    <xf numFmtId="49" fontId="0" fillId="0" borderId="7" xfId="0" applyNumberFormat="1" applyBorder="1" applyAlignment="1">
      <alignment horizontal="center" vertical="center"/>
    </xf>
    <xf numFmtId="49" fontId="5" fillId="0" borderId="0" xfId="8" applyNumberFormat="1" applyFont="1" applyAlignment="1">
      <alignment horizontal="center" vertical="center" justifyLastLine="1"/>
    </xf>
    <xf numFmtId="49" fontId="6" fillId="0" borderId="0" xfId="8" applyNumberFormat="1" applyFont="1" applyAlignment="1">
      <alignment horizontal="left" vertical="center"/>
    </xf>
    <xf numFmtId="49" fontId="5" fillId="0" borderId="0" xfId="8" applyNumberFormat="1" applyFont="1" applyAlignment="1">
      <alignment horizontal="left" vertical="center"/>
    </xf>
    <xf numFmtId="49" fontId="5" fillId="0" borderId="0" xfId="8" applyNumberFormat="1" applyFont="1" applyAlignment="1">
      <alignment horizontal="left" vertical="center" justifyLastLine="1"/>
    </xf>
    <xf numFmtId="49" fontId="5" fillId="0" borderId="8" xfId="8" quotePrefix="1" applyNumberFormat="1" applyFont="1" applyBorder="1" applyAlignment="1">
      <alignment horizontal="center" vertical="center"/>
    </xf>
    <xf numFmtId="49" fontId="5" fillId="0" borderId="6" xfId="8" quotePrefix="1" applyNumberFormat="1" applyFont="1" applyBorder="1" applyAlignment="1">
      <alignment horizontal="left" vertical="center"/>
    </xf>
    <xf numFmtId="49" fontId="6" fillId="0" borderId="0" xfId="8" applyNumberFormat="1" applyFont="1" applyAlignment="1">
      <alignment horizontal="left" vertical="center" wrapText="1"/>
    </xf>
    <xf numFmtId="49" fontId="6" fillId="0" borderId="0" xfId="8" applyNumberFormat="1" applyFont="1" applyAlignment="1">
      <alignment horizontal="left" vertical="center" justifyLastLine="1"/>
    </xf>
    <xf numFmtId="49" fontId="17" fillId="0" borderId="0" xfId="10" applyNumberFormat="1" applyFont="1" applyAlignment="1">
      <alignment horizontal="left" vertical="center" wrapText="1"/>
    </xf>
    <xf numFmtId="49" fontId="17" fillId="0" borderId="0" xfId="10" applyNumberFormat="1" applyFont="1" applyAlignment="1">
      <alignment horizontal="left" vertical="center"/>
    </xf>
    <xf numFmtId="49" fontId="16" fillId="0" borderId="0" xfId="10" applyNumberFormat="1" applyFont="1" applyAlignment="1">
      <alignment horizontal="center" vertical="center"/>
    </xf>
    <xf numFmtId="49" fontId="16" fillId="0" borderId="0" xfId="10" applyNumberFormat="1" applyFont="1" applyAlignment="1">
      <alignment horizontal="right" vertical="center"/>
    </xf>
    <xf numFmtId="49" fontId="16" fillId="0" borderId="10" xfId="10" applyNumberFormat="1" applyFont="1" applyBorder="1" applyAlignment="1">
      <alignment horizontal="center" vertical="center"/>
    </xf>
    <xf numFmtId="49" fontId="17" fillId="0" borderId="6" xfId="10" applyNumberFormat="1" applyFont="1" applyBorder="1" applyAlignment="1">
      <alignment horizontal="left" vertical="center"/>
    </xf>
    <xf numFmtId="0" fontId="1" fillId="0" borderId="0" xfId="13"/>
    <xf numFmtId="0" fontId="18" fillId="2" borderId="12" xfId="14" applyFont="1" applyFill="1" applyBorder="1" applyAlignment="1">
      <alignment horizontal="center"/>
    </xf>
    <xf numFmtId="0" fontId="18" fillId="2" borderId="13" xfId="14" applyFont="1" applyFill="1" applyBorder="1" applyAlignment="1">
      <alignment horizontal="center"/>
    </xf>
    <xf numFmtId="0" fontId="18" fillId="2" borderId="14" xfId="14" applyFont="1" applyFill="1" applyBorder="1" applyAlignment="1">
      <alignment horizontal="center"/>
    </xf>
    <xf numFmtId="0" fontId="19" fillId="2" borderId="15" xfId="14" applyFont="1" applyFill="1" applyBorder="1" applyAlignment="1">
      <alignment horizontal="center"/>
    </xf>
    <xf numFmtId="0" fontId="19" fillId="2" borderId="0" xfId="14" applyFont="1" applyFill="1" applyAlignment="1">
      <alignment horizontal="center"/>
    </xf>
    <xf numFmtId="0" fontId="19" fillId="2" borderId="16" xfId="14" applyFont="1" applyFill="1" applyBorder="1" applyAlignment="1">
      <alignment horizontal="center"/>
    </xf>
    <xf numFmtId="0" fontId="20" fillId="2" borderId="15" xfId="13" applyFont="1" applyFill="1" applyBorder="1" applyAlignment="1">
      <alignment horizontal="center"/>
    </xf>
    <xf numFmtId="0" fontId="20" fillId="2" borderId="0" xfId="13" applyFont="1" applyFill="1" applyAlignment="1">
      <alignment horizontal="center"/>
    </xf>
    <xf numFmtId="0" fontId="20" fillId="2" borderId="16" xfId="13" applyFont="1" applyFill="1" applyBorder="1" applyAlignment="1">
      <alignment horizontal="center"/>
    </xf>
    <xf numFmtId="0" fontId="20" fillId="0" borderId="0" xfId="13" applyFont="1"/>
    <xf numFmtId="0" fontId="20" fillId="2" borderId="15" xfId="13" applyFont="1" applyFill="1" applyBorder="1" applyAlignment="1">
      <alignment horizontal="center"/>
    </xf>
    <xf numFmtId="0" fontId="20" fillId="2" borderId="0" xfId="13" applyFont="1" applyFill="1" applyAlignment="1">
      <alignment horizontal="center"/>
    </xf>
    <xf numFmtId="0" fontId="20" fillId="2" borderId="16" xfId="13" applyFont="1" applyFill="1" applyBorder="1" applyAlignment="1">
      <alignment horizontal="center"/>
    </xf>
    <xf numFmtId="0" fontId="21" fillId="2" borderId="15" xfId="13" applyFont="1" applyFill="1" applyBorder="1" applyAlignment="1">
      <alignment horizontal="center" vertical="center" readingOrder="1"/>
    </xf>
    <xf numFmtId="0" fontId="21" fillId="2" borderId="0" xfId="13" applyFont="1" applyFill="1" applyAlignment="1">
      <alignment horizontal="center" vertical="center" readingOrder="1"/>
    </xf>
    <xf numFmtId="0" fontId="21" fillId="2" borderId="16" xfId="13" applyFont="1" applyFill="1" applyBorder="1" applyAlignment="1">
      <alignment horizontal="center" vertical="center" readingOrder="1"/>
    </xf>
    <xf numFmtId="0" fontId="22" fillId="2" borderId="17" xfId="13" applyFont="1" applyFill="1" applyBorder="1" applyAlignment="1">
      <alignment horizontal="centerContinuous" vertical="center" readingOrder="1"/>
    </xf>
    <xf numFmtId="0" fontId="1" fillId="2" borderId="18" xfId="13" applyFill="1" applyBorder="1" applyAlignment="1">
      <alignment horizontal="centerContinuous"/>
    </xf>
    <xf numFmtId="0" fontId="1" fillId="2" borderId="19" xfId="13" applyFill="1" applyBorder="1" applyAlignment="1">
      <alignment horizontal="centerContinuous"/>
    </xf>
  </cellXfs>
  <cellStyles count="15">
    <cellStyle name="Comma 2" xfId="1" xr:uid="{00000000-0005-0000-0000-000000000000}"/>
    <cellStyle name="Comma 3" xfId="2" xr:uid="{00000000-0005-0000-0000-000001000000}"/>
    <cellStyle name="Comma 4" xfId="11" xr:uid="{F86419E5-9A94-4CB4-8512-D38383193B1A}"/>
    <cellStyle name="Normal" xfId="0" builtinId="0"/>
    <cellStyle name="Normal 2" xfId="3" xr:uid="{00000000-0005-0000-0000-000003000000}"/>
    <cellStyle name="Normal 2 2" xfId="4" xr:uid="{00000000-0005-0000-0000-000004000000}"/>
    <cellStyle name="Normal 2 3" xfId="5" xr:uid="{00000000-0005-0000-0000-000005000000}"/>
    <cellStyle name="Normal 2 4" xfId="14" xr:uid="{C6905E27-A80F-4CE1-95FC-E085D2A194BB}"/>
    <cellStyle name="Normal 3" xfId="6" xr:uid="{00000000-0005-0000-0000-000006000000}"/>
    <cellStyle name="Normal 4" xfId="7" xr:uid="{00000000-0005-0000-0000-000007000000}"/>
    <cellStyle name="Normal 4 2" xfId="13" xr:uid="{1ED6F36A-B6A5-43D6-AA26-BCD9C57555BD}"/>
    <cellStyle name="Normal 5" xfId="9" xr:uid="{00000000-0005-0000-0000-000008000000}"/>
    <cellStyle name="Normal 6" xfId="10" xr:uid="{379D6E38-F86A-494C-97E3-C2EF022C8C6F}"/>
    <cellStyle name="Normal 7" xfId="12" xr:uid="{8E43602C-E828-4A48-80F4-50F9F1E70F25}"/>
    <cellStyle name="Normal_2005 Pub 2"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95250</xdr:rowOff>
    </xdr:from>
    <xdr:to>
      <xdr:col>2</xdr:col>
      <xdr:colOff>285874</xdr:colOff>
      <xdr:row>3</xdr:row>
      <xdr:rowOff>72545</xdr:rowOff>
    </xdr:to>
    <xdr:pic>
      <xdr:nvPicPr>
        <xdr:cNvPr id="2" name="Picture 1" title="USGS logo">
          <a:extLst>
            <a:ext uri="{FF2B5EF4-FFF2-40B4-BE49-F238E27FC236}">
              <a16:creationId xmlns:a16="http://schemas.microsoft.com/office/drawing/2014/main" id="{515F6F51-3F66-4831-A204-8721D98ADD06}"/>
            </a:ext>
          </a:extLst>
        </xdr:cNvPr>
        <xdr:cNvPicPr>
          <a:picLocks noChangeAspect="1"/>
        </xdr:cNvPicPr>
      </xdr:nvPicPr>
      <xdr:blipFill>
        <a:blip xmlns:r="http://schemas.openxmlformats.org/officeDocument/2006/relationships" r:embed="rId1"/>
        <a:stretch>
          <a:fillRect/>
        </a:stretch>
      </xdr:blipFill>
      <xdr:spPr>
        <a:xfrm>
          <a:off x="66675" y="95250"/>
          <a:ext cx="1428874" cy="548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013C-F2EB-447C-9F83-19C40E82D729}">
  <sheetPr>
    <tabColor theme="0"/>
  </sheetPr>
  <dimension ref="A4:L14"/>
  <sheetViews>
    <sheetView showGridLines="0" tabSelected="1" workbookViewId="0">
      <selection activeCell="A13" sqref="A13:L13"/>
    </sheetView>
  </sheetViews>
  <sheetFormatPr defaultColWidth="10.6640625" defaultRowHeight="15"/>
  <cols>
    <col min="1" max="1" width="10.5" style="324" customWidth="1"/>
    <col min="2" max="16384" width="10.6640625" style="324"/>
  </cols>
  <sheetData>
    <row r="4" spans="1:12" ht="15.75" thickBot="1"/>
    <row r="5" spans="1:12" ht="42.75" customHeight="1">
      <c r="A5" s="325" t="s">
        <v>396</v>
      </c>
      <c r="B5" s="326"/>
      <c r="C5" s="326"/>
      <c r="D5" s="326"/>
      <c r="E5" s="326"/>
      <c r="F5" s="326"/>
      <c r="G5" s="326"/>
      <c r="H5" s="326"/>
      <c r="I5" s="326"/>
      <c r="J5" s="326"/>
      <c r="K5" s="326"/>
      <c r="L5" s="327"/>
    </row>
    <row r="6" spans="1:12" ht="48" customHeight="1">
      <c r="A6" s="328" t="s">
        <v>397</v>
      </c>
      <c r="B6" s="329"/>
      <c r="C6" s="329"/>
      <c r="D6" s="329"/>
      <c r="E6" s="329"/>
      <c r="F6" s="329"/>
      <c r="G6" s="329"/>
      <c r="H6" s="329"/>
      <c r="I6" s="329"/>
      <c r="J6" s="329"/>
      <c r="K6" s="329"/>
      <c r="L6" s="330"/>
    </row>
    <row r="7" spans="1:12" s="334" customFormat="1" ht="23.25">
      <c r="A7" s="331" t="s">
        <v>398</v>
      </c>
      <c r="B7" s="332"/>
      <c r="C7" s="332"/>
      <c r="D7" s="332"/>
      <c r="E7" s="332"/>
      <c r="F7" s="332"/>
      <c r="G7" s="332"/>
      <c r="H7" s="332"/>
      <c r="I7" s="332"/>
      <c r="J7" s="332"/>
      <c r="K7" s="332"/>
      <c r="L7" s="333"/>
    </row>
    <row r="8" spans="1:12" s="334" customFormat="1" ht="23.25">
      <c r="A8" s="331" t="s">
        <v>399</v>
      </c>
      <c r="B8" s="332"/>
      <c r="C8" s="332"/>
      <c r="D8" s="332"/>
      <c r="E8" s="332"/>
      <c r="F8" s="332"/>
      <c r="G8" s="332"/>
      <c r="H8" s="332"/>
      <c r="I8" s="332"/>
      <c r="J8" s="332"/>
      <c r="K8" s="332"/>
      <c r="L8" s="333"/>
    </row>
    <row r="9" spans="1:12" s="334" customFormat="1" ht="23.25">
      <c r="A9" s="331" t="s">
        <v>400</v>
      </c>
      <c r="B9" s="332"/>
      <c r="C9" s="332"/>
      <c r="D9" s="332"/>
      <c r="E9" s="332"/>
      <c r="F9" s="332"/>
      <c r="G9" s="332"/>
      <c r="H9" s="332"/>
      <c r="I9" s="332"/>
      <c r="J9" s="332"/>
      <c r="K9" s="332"/>
      <c r="L9" s="333"/>
    </row>
    <row r="10" spans="1:12" s="334" customFormat="1" ht="23.25">
      <c r="A10" s="331" t="s">
        <v>401</v>
      </c>
      <c r="B10" s="332"/>
      <c r="C10" s="332"/>
      <c r="D10" s="332"/>
      <c r="E10" s="332"/>
      <c r="F10" s="332"/>
      <c r="G10" s="332"/>
      <c r="H10" s="332"/>
      <c r="I10" s="332"/>
      <c r="J10" s="332"/>
      <c r="K10" s="332"/>
      <c r="L10" s="333"/>
    </row>
    <row r="11" spans="1:12" s="334" customFormat="1" ht="23.25">
      <c r="A11" s="331" t="s">
        <v>402</v>
      </c>
      <c r="B11" s="332"/>
      <c r="C11" s="332"/>
      <c r="D11" s="332"/>
      <c r="E11" s="332"/>
      <c r="F11" s="332"/>
      <c r="G11" s="332"/>
      <c r="H11" s="332"/>
      <c r="I11" s="332"/>
      <c r="J11" s="332"/>
      <c r="K11" s="332"/>
      <c r="L11" s="333"/>
    </row>
    <row r="12" spans="1:12" s="334" customFormat="1" ht="23.25">
      <c r="A12" s="335"/>
      <c r="B12" s="336"/>
      <c r="C12" s="336"/>
      <c r="D12" s="336"/>
      <c r="E12" s="336"/>
      <c r="F12" s="336"/>
      <c r="G12" s="336"/>
      <c r="H12" s="336"/>
      <c r="I12" s="336"/>
      <c r="J12" s="336"/>
      <c r="K12" s="336"/>
      <c r="L12" s="337"/>
    </row>
    <row r="13" spans="1:12" ht="22.15" customHeight="1">
      <c r="A13" s="338" t="s">
        <v>403</v>
      </c>
      <c r="B13" s="339"/>
      <c r="C13" s="339"/>
      <c r="D13" s="339"/>
      <c r="E13" s="339"/>
      <c r="F13" s="339"/>
      <c r="G13" s="339"/>
      <c r="H13" s="339"/>
      <c r="I13" s="339"/>
      <c r="J13" s="339"/>
      <c r="K13" s="339"/>
      <c r="L13" s="340"/>
    </row>
    <row r="14" spans="1:12" ht="24" thickBot="1">
      <c r="A14" s="341"/>
      <c r="B14" s="342"/>
      <c r="C14" s="342"/>
      <c r="D14" s="342"/>
      <c r="E14" s="342"/>
      <c r="F14" s="342"/>
      <c r="G14" s="342"/>
      <c r="H14" s="342"/>
      <c r="I14" s="342"/>
      <c r="J14" s="342"/>
      <c r="K14" s="342"/>
      <c r="L14" s="343"/>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A9146-5F91-4BA6-838E-17BD351B0740}">
  <dimension ref="A1:M48"/>
  <sheetViews>
    <sheetView zoomScaleNormal="100" workbookViewId="0">
      <selection sqref="A1:M1"/>
    </sheetView>
  </sheetViews>
  <sheetFormatPr defaultColWidth="9.33203125" defaultRowHeight="11.25" customHeight="1"/>
  <cols>
    <col min="1" max="1" width="28.6640625" style="1" customWidth="1"/>
    <col min="2" max="2" width="13.6640625" style="1" customWidth="1"/>
    <col min="3" max="3" width="1.6640625" style="1" customWidth="1"/>
    <col min="4" max="4" width="9.1640625" style="1" bestFit="1" customWidth="1"/>
    <col min="5" max="5" width="1.6640625" style="1" customWidth="1"/>
    <col min="6" max="6" width="9.1640625" style="1" bestFit="1" customWidth="1"/>
    <col min="7" max="7" width="1.6640625" style="1" customWidth="1"/>
    <col min="8" max="8" width="9.1640625" style="1" bestFit="1" customWidth="1"/>
    <col min="9" max="9" width="1.6640625" style="1" customWidth="1"/>
    <col min="10" max="10" width="9.1640625" style="1" bestFit="1" customWidth="1"/>
    <col min="11" max="11" width="1.6640625" style="1" customWidth="1"/>
    <col min="12" max="12" width="9.33203125" style="1"/>
    <col min="13" max="13" width="2.6640625" style="1" customWidth="1"/>
    <col min="14" max="16384" width="9.33203125" style="1"/>
  </cols>
  <sheetData>
    <row r="1" spans="1:13" ht="11.25" customHeight="1">
      <c r="A1" s="271" t="s">
        <v>0</v>
      </c>
      <c r="B1" s="272"/>
      <c r="C1" s="272"/>
      <c r="D1" s="272"/>
      <c r="E1" s="272"/>
      <c r="F1" s="272"/>
      <c r="G1" s="272"/>
      <c r="H1" s="272"/>
      <c r="I1" s="272"/>
      <c r="J1" s="272"/>
      <c r="K1" s="272"/>
      <c r="L1" s="272"/>
      <c r="M1" s="267"/>
    </row>
    <row r="2" spans="1:13" ht="11.25" customHeight="1">
      <c r="A2" s="271" t="s">
        <v>180</v>
      </c>
      <c r="B2" s="272"/>
      <c r="C2" s="272"/>
      <c r="D2" s="272"/>
      <c r="E2" s="272"/>
      <c r="F2" s="272"/>
      <c r="G2" s="272"/>
      <c r="H2" s="272"/>
      <c r="I2" s="272"/>
      <c r="J2" s="272"/>
      <c r="K2" s="272"/>
      <c r="L2" s="272"/>
      <c r="M2" s="267"/>
    </row>
    <row r="3" spans="1:13" ht="11.25" customHeight="1">
      <c r="A3" s="271"/>
      <c r="B3" s="267"/>
      <c r="C3" s="267"/>
      <c r="D3" s="267"/>
      <c r="E3" s="267"/>
      <c r="F3" s="267"/>
      <c r="G3" s="267"/>
      <c r="H3" s="267"/>
      <c r="I3" s="267"/>
      <c r="J3" s="267"/>
      <c r="K3" s="267"/>
      <c r="L3" s="267"/>
      <c r="M3" s="267"/>
    </row>
    <row r="4" spans="1:13" ht="11.25" customHeight="1">
      <c r="A4" s="271" t="s">
        <v>1</v>
      </c>
      <c r="B4" s="272"/>
      <c r="C4" s="272"/>
      <c r="D4" s="272"/>
      <c r="E4" s="272"/>
      <c r="F4" s="272"/>
      <c r="G4" s="272"/>
      <c r="H4" s="272"/>
      <c r="I4" s="272"/>
      <c r="J4" s="272"/>
      <c r="K4" s="272"/>
      <c r="L4" s="272"/>
      <c r="M4" s="267"/>
    </row>
    <row r="5" spans="1:13" ht="11.25" customHeight="1">
      <c r="A5" s="273"/>
      <c r="B5" s="274"/>
      <c r="C5" s="274"/>
      <c r="D5" s="274"/>
      <c r="E5" s="274"/>
      <c r="F5" s="274"/>
      <c r="G5" s="274"/>
      <c r="H5" s="274"/>
      <c r="I5" s="274"/>
      <c r="J5" s="274"/>
      <c r="K5" s="274"/>
      <c r="L5" s="274"/>
      <c r="M5" s="274"/>
    </row>
    <row r="6" spans="1:13" ht="11.25" customHeight="1">
      <c r="A6" s="77"/>
      <c r="B6" s="77"/>
      <c r="C6" s="77"/>
      <c r="D6" s="227" t="s">
        <v>227</v>
      </c>
      <c r="E6" s="169"/>
      <c r="F6" s="227" t="s">
        <v>228</v>
      </c>
      <c r="G6" s="169"/>
      <c r="H6" s="227" t="s">
        <v>233</v>
      </c>
      <c r="I6" s="169"/>
      <c r="J6" s="227" t="s">
        <v>241</v>
      </c>
      <c r="K6" s="169"/>
      <c r="L6" s="227" t="s">
        <v>276</v>
      </c>
      <c r="M6" s="40"/>
    </row>
    <row r="7" spans="1:13" ht="11.25" customHeight="1">
      <c r="A7" s="50" t="s">
        <v>181</v>
      </c>
      <c r="B7" s="177"/>
      <c r="C7" s="177"/>
    </row>
    <row r="8" spans="1:13" ht="11.25" customHeight="1">
      <c r="A8" s="52" t="s">
        <v>2</v>
      </c>
      <c r="B8" s="52"/>
      <c r="C8" s="178"/>
    </row>
    <row r="9" spans="1:13" ht="11.25" customHeight="1">
      <c r="A9" s="60" t="s">
        <v>3</v>
      </c>
      <c r="B9" s="179"/>
      <c r="C9" s="179"/>
    </row>
    <row r="10" spans="1:13" ht="11.25" customHeight="1">
      <c r="A10" s="180" t="s">
        <v>4</v>
      </c>
      <c r="B10" s="180"/>
      <c r="C10" s="181"/>
      <c r="D10" s="10">
        <v>125000</v>
      </c>
      <c r="E10" s="25"/>
      <c r="F10" s="10">
        <v>108000</v>
      </c>
      <c r="G10" s="25"/>
      <c r="H10" s="10">
        <v>75000</v>
      </c>
      <c r="I10" s="25"/>
      <c r="J10" s="10">
        <v>90800</v>
      </c>
      <c r="K10" s="25" t="s">
        <v>225</v>
      </c>
      <c r="L10" s="10">
        <v>113000</v>
      </c>
    </row>
    <row r="11" spans="1:13" ht="11.25" customHeight="1">
      <c r="A11" s="180" t="s">
        <v>5</v>
      </c>
      <c r="B11" s="181"/>
      <c r="C11" s="181"/>
      <c r="D11" s="10">
        <v>552</v>
      </c>
      <c r="E11" s="25"/>
      <c r="F11" s="10">
        <v>591</v>
      </c>
      <c r="G11" s="25"/>
      <c r="H11" s="10">
        <v>834</v>
      </c>
      <c r="I11" s="25"/>
      <c r="J11" s="10">
        <v>439</v>
      </c>
      <c r="K11" s="25" t="s">
        <v>225</v>
      </c>
      <c r="L11" s="10">
        <v>614</v>
      </c>
    </row>
    <row r="12" spans="1:13" ht="11.25" customHeight="1">
      <c r="A12" s="182" t="s">
        <v>6</v>
      </c>
      <c r="B12" s="182"/>
      <c r="C12" s="183"/>
      <c r="D12" s="65">
        <v>126000</v>
      </c>
      <c r="E12" s="42"/>
      <c r="F12" s="65">
        <v>108000</v>
      </c>
      <c r="G12" s="42"/>
      <c r="H12" s="65">
        <v>75800</v>
      </c>
      <c r="I12" s="42"/>
      <c r="J12" s="65">
        <v>91200</v>
      </c>
      <c r="K12" s="42" t="s">
        <v>225</v>
      </c>
      <c r="L12" s="65">
        <v>114000</v>
      </c>
      <c r="M12" s="262"/>
    </row>
    <row r="13" spans="1:13" ht="11.25" customHeight="1">
      <c r="A13" s="60" t="s">
        <v>7</v>
      </c>
      <c r="B13" s="179"/>
      <c r="C13" s="179"/>
      <c r="D13" s="2"/>
      <c r="F13" s="2"/>
      <c r="H13" s="2"/>
      <c r="J13" s="2"/>
      <c r="L13" s="2"/>
    </row>
    <row r="14" spans="1:13" ht="11.25" customHeight="1">
      <c r="A14" s="180" t="s">
        <v>4</v>
      </c>
      <c r="B14" s="180"/>
      <c r="C14" s="181"/>
      <c r="D14" s="10">
        <v>7030000</v>
      </c>
      <c r="E14" s="25" t="s">
        <v>225</v>
      </c>
      <c r="F14" s="10">
        <v>4970000</v>
      </c>
      <c r="G14" s="25"/>
      <c r="H14" s="10">
        <v>2200000</v>
      </c>
      <c r="I14" s="25"/>
      <c r="J14" s="10">
        <v>3700000</v>
      </c>
      <c r="K14" s="25" t="s">
        <v>225</v>
      </c>
      <c r="L14" s="10">
        <v>5130000</v>
      </c>
    </row>
    <row r="15" spans="1:13" ht="11.25" customHeight="1">
      <c r="A15" s="180" t="s">
        <v>5</v>
      </c>
      <c r="B15" s="181"/>
      <c r="C15" s="181"/>
      <c r="D15" s="70">
        <v>12900</v>
      </c>
      <c r="E15" s="171"/>
      <c r="F15" s="70">
        <v>20300</v>
      </c>
      <c r="G15" s="171"/>
      <c r="H15" s="70">
        <v>32500</v>
      </c>
      <c r="I15" s="171"/>
      <c r="J15" s="70">
        <v>20800</v>
      </c>
      <c r="K15" s="171" t="s">
        <v>225</v>
      </c>
      <c r="L15" s="70">
        <v>30200</v>
      </c>
      <c r="M15" s="169"/>
    </row>
    <row r="16" spans="1:13" ht="11.25" customHeight="1">
      <c r="A16" s="182" t="s">
        <v>6</v>
      </c>
      <c r="B16" s="182"/>
      <c r="C16" s="183"/>
      <c r="D16" s="10">
        <v>7040000</v>
      </c>
      <c r="E16" s="25" t="s">
        <v>225</v>
      </c>
      <c r="F16" s="10">
        <v>4990000</v>
      </c>
      <c r="G16" s="25"/>
      <c r="H16" s="10">
        <v>2240000</v>
      </c>
      <c r="I16" s="25"/>
      <c r="J16" s="10">
        <v>3720000</v>
      </c>
      <c r="K16" s="25" t="s">
        <v>225</v>
      </c>
      <c r="L16" s="10">
        <v>5160000</v>
      </c>
    </row>
    <row r="17" spans="1:13" ht="11.25" customHeight="1">
      <c r="A17" s="52" t="s">
        <v>8</v>
      </c>
      <c r="B17" s="178"/>
      <c r="C17" s="178"/>
      <c r="D17" s="2"/>
      <c r="F17" s="2"/>
      <c r="H17" s="2"/>
      <c r="J17" s="2"/>
      <c r="L17" s="2"/>
    </row>
    <row r="18" spans="1:13" ht="11.25" customHeight="1">
      <c r="A18" s="60" t="s">
        <v>9</v>
      </c>
      <c r="B18" s="60"/>
      <c r="C18" s="179"/>
      <c r="D18" s="10">
        <v>6550</v>
      </c>
      <c r="E18" s="25"/>
      <c r="F18" s="10">
        <v>5620</v>
      </c>
      <c r="H18" s="10">
        <v>4090</v>
      </c>
      <c r="I18" s="25" t="s">
        <v>225</v>
      </c>
      <c r="J18" s="10">
        <v>5440</v>
      </c>
      <c r="K18" s="25" t="s">
        <v>225</v>
      </c>
      <c r="L18" s="10">
        <v>6390</v>
      </c>
    </row>
    <row r="19" spans="1:13" ht="11.25" customHeight="1">
      <c r="A19" s="60" t="s">
        <v>10</v>
      </c>
      <c r="B19" s="179"/>
      <c r="C19" s="179"/>
      <c r="D19" s="10">
        <v>588000</v>
      </c>
      <c r="E19" s="25"/>
      <c r="F19" s="10">
        <v>493000</v>
      </c>
      <c r="H19" s="10">
        <v>384000</v>
      </c>
      <c r="I19" s="25" t="s">
        <v>225</v>
      </c>
      <c r="J19" s="10">
        <v>537000</v>
      </c>
      <c r="K19" s="25"/>
      <c r="L19" s="10">
        <v>633000</v>
      </c>
    </row>
    <row r="20" spans="1:13" ht="11.25" customHeight="1">
      <c r="A20" s="52" t="s">
        <v>11</v>
      </c>
      <c r="B20" s="52"/>
      <c r="C20" s="178"/>
      <c r="D20" s="2"/>
      <c r="F20" s="2"/>
      <c r="H20" s="2"/>
      <c r="J20" s="2"/>
      <c r="L20" s="2"/>
    </row>
    <row r="21" spans="1:13" ht="11.25" customHeight="1">
      <c r="A21" s="60" t="s">
        <v>9</v>
      </c>
      <c r="B21" s="179"/>
      <c r="C21" s="179"/>
      <c r="D21" s="10">
        <v>392</v>
      </c>
      <c r="F21" s="10">
        <v>389</v>
      </c>
      <c r="H21" s="10">
        <v>417</v>
      </c>
      <c r="J21" s="10">
        <v>350</v>
      </c>
      <c r="L21" s="10">
        <v>338</v>
      </c>
    </row>
    <row r="22" spans="1:13" ht="11.25" customHeight="1">
      <c r="A22" s="60" t="s">
        <v>10</v>
      </c>
      <c r="B22" s="60"/>
      <c r="C22" s="179"/>
      <c r="D22" s="10">
        <v>24300</v>
      </c>
      <c r="E22" s="25"/>
      <c r="F22" s="10">
        <v>25900</v>
      </c>
      <c r="G22" s="25"/>
      <c r="H22" s="10">
        <v>19700</v>
      </c>
      <c r="I22" s="25"/>
      <c r="J22" s="10">
        <v>23200</v>
      </c>
      <c r="K22" s="25"/>
      <c r="L22" s="10">
        <v>32500</v>
      </c>
    </row>
    <row r="23" spans="1:13" ht="11.25" customHeight="1">
      <c r="A23" s="259" t="s">
        <v>250</v>
      </c>
      <c r="B23" s="179"/>
      <c r="C23" s="179"/>
      <c r="D23" s="10"/>
      <c r="E23" s="25"/>
      <c r="F23" s="10"/>
      <c r="H23" s="10"/>
      <c r="J23" s="10"/>
      <c r="L23" s="10"/>
    </row>
    <row r="24" spans="1:13" ht="11.25" customHeight="1">
      <c r="A24" s="184" t="s">
        <v>8</v>
      </c>
      <c r="B24" s="60"/>
      <c r="C24" s="179"/>
      <c r="D24" s="10"/>
      <c r="E24" s="25"/>
      <c r="F24" s="10"/>
      <c r="H24" s="10"/>
      <c r="J24" s="10"/>
      <c r="L24" s="10"/>
    </row>
    <row r="25" spans="1:13" ht="11.25" customHeight="1">
      <c r="A25" s="179" t="s">
        <v>251</v>
      </c>
      <c r="B25" s="185" t="s">
        <v>252</v>
      </c>
      <c r="C25" s="179"/>
      <c r="D25" s="10">
        <v>43400</v>
      </c>
      <c r="F25" s="10">
        <v>40900</v>
      </c>
      <c r="H25" s="10">
        <v>37100</v>
      </c>
      <c r="J25" s="10">
        <v>39300</v>
      </c>
      <c r="L25" s="10">
        <v>76400</v>
      </c>
    </row>
    <row r="26" spans="1:13" ht="11.25" customHeight="1">
      <c r="A26" s="60" t="s">
        <v>10</v>
      </c>
      <c r="B26" s="60"/>
      <c r="C26" s="179"/>
      <c r="D26" s="10">
        <v>6690</v>
      </c>
      <c r="F26" s="10">
        <v>7540</v>
      </c>
      <c r="H26" s="10">
        <v>8610</v>
      </c>
      <c r="J26" s="10">
        <v>10300</v>
      </c>
      <c r="L26" s="10">
        <v>12400</v>
      </c>
    </row>
    <row r="27" spans="1:13" ht="11.25" customHeight="1">
      <c r="A27" s="186" t="s">
        <v>11</v>
      </c>
      <c r="B27" s="60"/>
      <c r="C27" s="179"/>
      <c r="D27" s="10"/>
      <c r="E27" s="25"/>
      <c r="F27" s="10"/>
      <c r="H27" s="10"/>
      <c r="J27" s="10"/>
      <c r="L27" s="10"/>
    </row>
    <row r="28" spans="1:13" ht="11.25" customHeight="1">
      <c r="A28" s="60" t="s">
        <v>251</v>
      </c>
      <c r="B28" s="187" t="s">
        <v>256</v>
      </c>
      <c r="C28" s="179"/>
      <c r="D28" s="10">
        <v>16100</v>
      </c>
      <c r="E28" s="25"/>
      <c r="F28" s="10">
        <v>54800</v>
      </c>
      <c r="H28" s="10">
        <v>114000</v>
      </c>
      <c r="J28" s="10">
        <v>69300</v>
      </c>
      <c r="L28" s="10">
        <v>76000</v>
      </c>
    </row>
    <row r="29" spans="1:13" ht="11.25" customHeight="1">
      <c r="A29" s="179" t="s">
        <v>10</v>
      </c>
      <c r="B29" s="60"/>
      <c r="C29" s="179"/>
      <c r="D29" s="10">
        <v>4400</v>
      </c>
      <c r="E29" s="25"/>
      <c r="F29" s="10">
        <v>8560</v>
      </c>
      <c r="H29" s="10">
        <v>10400</v>
      </c>
      <c r="J29" s="10">
        <v>9140</v>
      </c>
      <c r="L29" s="10">
        <v>12300</v>
      </c>
    </row>
    <row r="30" spans="1:13" ht="11.25" customHeight="1">
      <c r="A30" s="50" t="s">
        <v>253</v>
      </c>
      <c r="B30" s="188"/>
      <c r="C30" s="177"/>
      <c r="D30" s="2"/>
      <c r="F30" s="2"/>
      <c r="H30" s="2"/>
      <c r="J30" s="2"/>
      <c r="L30" s="2"/>
    </row>
    <row r="31" spans="1:13" ht="11.25" customHeight="1">
      <c r="A31" s="189" t="s">
        <v>254</v>
      </c>
      <c r="B31" s="188"/>
      <c r="C31" s="177"/>
      <c r="D31" s="2"/>
      <c r="F31" s="2"/>
      <c r="H31" s="2"/>
      <c r="J31" s="2"/>
      <c r="L31" s="2"/>
    </row>
    <row r="32" spans="1:13" ht="11.25" customHeight="1">
      <c r="A32" s="126" t="s">
        <v>216</v>
      </c>
      <c r="B32" s="187" t="s">
        <v>217</v>
      </c>
      <c r="C32" s="185"/>
      <c r="D32" s="10">
        <v>35300</v>
      </c>
      <c r="E32" s="25"/>
      <c r="F32" s="10">
        <v>54800</v>
      </c>
      <c r="G32" s="25"/>
      <c r="H32" s="10">
        <v>56600</v>
      </c>
      <c r="I32" s="25"/>
      <c r="J32" s="10">
        <v>41000</v>
      </c>
      <c r="K32" s="25"/>
      <c r="L32" s="10">
        <v>65000</v>
      </c>
      <c r="M32" s="25" t="s">
        <v>394</v>
      </c>
    </row>
    <row r="33" spans="1:13" ht="11.25" customHeight="1">
      <c r="A33" s="190" t="s">
        <v>10</v>
      </c>
      <c r="B33" s="126"/>
      <c r="C33" s="191"/>
      <c r="D33" s="10">
        <v>212</v>
      </c>
      <c r="E33" s="25"/>
      <c r="F33" s="10">
        <v>336</v>
      </c>
      <c r="G33" s="25"/>
      <c r="H33" s="10">
        <v>345</v>
      </c>
      <c r="I33" s="25"/>
      <c r="J33" s="10">
        <v>247</v>
      </c>
      <c r="K33" s="25"/>
      <c r="L33" s="10">
        <v>400</v>
      </c>
      <c r="M33" s="25" t="s">
        <v>394</v>
      </c>
    </row>
    <row r="34" spans="1:13" ht="11.25" customHeight="1">
      <c r="A34" s="184" t="s">
        <v>255</v>
      </c>
      <c r="B34" s="126"/>
      <c r="C34" s="191"/>
      <c r="D34" s="10"/>
      <c r="E34" s="25"/>
      <c r="F34" s="10"/>
      <c r="G34" s="25"/>
      <c r="H34" s="10"/>
      <c r="I34" s="25"/>
      <c r="J34" s="10"/>
      <c r="K34" s="25"/>
      <c r="L34" s="10"/>
    </row>
    <row r="35" spans="1:13" ht="11.25" customHeight="1">
      <c r="A35" s="191" t="s">
        <v>9</v>
      </c>
      <c r="B35" s="187" t="s">
        <v>256</v>
      </c>
      <c r="C35" s="191"/>
      <c r="D35" s="10">
        <v>29600</v>
      </c>
      <c r="E35" s="25"/>
      <c r="F35" s="10">
        <v>31300</v>
      </c>
      <c r="G35" s="25"/>
      <c r="H35" s="10">
        <v>30300</v>
      </c>
      <c r="I35" s="25"/>
      <c r="J35" s="10">
        <v>31000</v>
      </c>
      <c r="K35" s="25"/>
      <c r="L35" s="10">
        <v>34000</v>
      </c>
      <c r="M35" s="25" t="s">
        <v>394</v>
      </c>
    </row>
    <row r="36" spans="1:13" ht="11.25" customHeight="1">
      <c r="A36" s="126" t="s">
        <v>10</v>
      </c>
      <c r="B36" s="126"/>
      <c r="C36" s="191"/>
      <c r="D36" s="10">
        <v>11300</v>
      </c>
      <c r="E36" s="25"/>
      <c r="F36" s="10">
        <v>12100</v>
      </c>
      <c r="G36" s="25"/>
      <c r="H36" s="10">
        <v>11700</v>
      </c>
      <c r="I36" s="25"/>
      <c r="J36" s="10">
        <v>12100</v>
      </c>
      <c r="K36" s="25"/>
      <c r="L36" s="10">
        <v>11000</v>
      </c>
      <c r="M36" s="25" t="s">
        <v>394</v>
      </c>
    </row>
    <row r="37" spans="1:13" ht="11.25" customHeight="1">
      <c r="A37" s="192" t="s">
        <v>240</v>
      </c>
      <c r="B37" s="59"/>
      <c r="C37" s="193"/>
      <c r="D37" s="2"/>
      <c r="F37" s="2"/>
      <c r="H37" s="2"/>
      <c r="J37" s="2"/>
      <c r="L37" s="2"/>
    </row>
    <row r="38" spans="1:13" ht="11.25" customHeight="1">
      <c r="A38" s="52" t="s">
        <v>254</v>
      </c>
      <c r="B38" s="52"/>
      <c r="C38" s="178"/>
      <c r="D38" s="2"/>
      <c r="F38" s="2"/>
      <c r="H38" s="2"/>
      <c r="J38" s="2"/>
      <c r="L38" s="2"/>
    </row>
    <row r="39" spans="1:13" ht="11.25" customHeight="1">
      <c r="A39" s="126" t="s">
        <v>218</v>
      </c>
      <c r="B39" s="187" t="s">
        <v>256</v>
      </c>
      <c r="C39" s="185"/>
      <c r="D39" s="10">
        <v>320</v>
      </c>
      <c r="E39" s="25"/>
      <c r="F39" s="10">
        <v>320</v>
      </c>
      <c r="G39" s="25"/>
      <c r="H39" s="10">
        <v>320</v>
      </c>
      <c r="I39" s="25"/>
      <c r="J39" s="10">
        <v>320</v>
      </c>
      <c r="K39" s="25"/>
      <c r="L39" s="10">
        <v>320</v>
      </c>
    </row>
    <row r="40" spans="1:13" ht="11.25" customHeight="1">
      <c r="A40" s="126" t="s">
        <v>10</v>
      </c>
      <c r="B40" s="60"/>
      <c r="C40" s="179"/>
      <c r="D40" s="10">
        <v>76</v>
      </c>
      <c r="E40" s="25"/>
      <c r="F40" s="10">
        <v>76</v>
      </c>
      <c r="G40" s="25"/>
      <c r="H40" s="10">
        <v>76</v>
      </c>
      <c r="I40" s="25"/>
      <c r="J40" s="10">
        <v>76</v>
      </c>
      <c r="K40" s="25"/>
      <c r="L40" s="10">
        <v>76</v>
      </c>
    </row>
    <row r="41" spans="1:13" ht="11.25" customHeight="1">
      <c r="A41" s="184" t="s">
        <v>255</v>
      </c>
      <c r="B41" s="52"/>
      <c r="C41" s="178"/>
      <c r="D41" s="2"/>
      <c r="F41" s="2"/>
      <c r="H41" s="2"/>
      <c r="J41" s="2"/>
      <c r="L41" s="2"/>
    </row>
    <row r="42" spans="1:13" ht="11.25" customHeight="1">
      <c r="A42" s="126" t="s">
        <v>219</v>
      </c>
      <c r="B42" s="187" t="s">
        <v>256</v>
      </c>
      <c r="C42" s="185"/>
      <c r="D42" s="10">
        <v>420</v>
      </c>
      <c r="E42" s="25"/>
      <c r="F42" s="10">
        <v>420</v>
      </c>
      <c r="G42" s="25"/>
      <c r="H42" s="10">
        <v>420</v>
      </c>
      <c r="I42" s="25"/>
      <c r="J42" s="10">
        <v>420</v>
      </c>
      <c r="K42" s="25"/>
      <c r="L42" s="10">
        <v>420</v>
      </c>
    </row>
    <row r="43" spans="1:13" ht="11.25" customHeight="1">
      <c r="A43" s="126" t="s">
        <v>10</v>
      </c>
      <c r="B43" s="194"/>
      <c r="C43" s="194"/>
      <c r="D43" s="70">
        <v>730</v>
      </c>
      <c r="E43" s="171"/>
      <c r="F43" s="70">
        <v>730</v>
      </c>
      <c r="G43" s="171"/>
      <c r="H43" s="70">
        <v>730</v>
      </c>
      <c r="I43" s="171"/>
      <c r="J43" s="70">
        <v>730</v>
      </c>
      <c r="K43" s="171"/>
      <c r="L43" s="70">
        <v>730</v>
      </c>
      <c r="M43" s="169"/>
    </row>
    <row r="44" spans="1:13" ht="11.25" customHeight="1">
      <c r="A44" s="275" t="s">
        <v>264</v>
      </c>
      <c r="B44" s="276"/>
      <c r="C44" s="276"/>
      <c r="D44" s="276"/>
      <c r="E44" s="276"/>
      <c r="F44" s="276"/>
      <c r="G44" s="276"/>
      <c r="H44" s="276"/>
      <c r="I44" s="276"/>
      <c r="J44" s="276"/>
      <c r="K44" s="276"/>
      <c r="L44" s="276"/>
      <c r="M44" s="277"/>
    </row>
    <row r="45" spans="1:13" ht="11.65" customHeight="1">
      <c r="A45" s="265" t="s">
        <v>285</v>
      </c>
      <c r="B45" s="266"/>
      <c r="C45" s="266"/>
      <c r="D45" s="266"/>
      <c r="E45" s="266"/>
      <c r="F45" s="266"/>
      <c r="G45" s="266"/>
      <c r="H45" s="266"/>
      <c r="I45" s="266"/>
      <c r="J45" s="266"/>
      <c r="K45" s="266"/>
      <c r="L45" s="266"/>
      <c r="M45" s="267"/>
    </row>
    <row r="46" spans="1:13" ht="11.25" customHeight="1">
      <c r="A46" s="268" t="s">
        <v>182</v>
      </c>
      <c r="B46" s="269"/>
      <c r="C46" s="269"/>
      <c r="D46" s="269"/>
      <c r="E46" s="269"/>
      <c r="F46" s="269"/>
      <c r="G46" s="269"/>
      <c r="H46" s="269"/>
      <c r="I46" s="269"/>
      <c r="J46" s="269"/>
      <c r="K46" s="269"/>
      <c r="L46" s="269"/>
      <c r="M46" s="267"/>
    </row>
    <row r="47" spans="1:13" ht="11.25" customHeight="1">
      <c r="A47" s="268" t="s">
        <v>263</v>
      </c>
      <c r="B47" s="269"/>
      <c r="C47" s="269"/>
      <c r="D47" s="269"/>
      <c r="E47" s="269"/>
      <c r="F47" s="269"/>
      <c r="G47" s="269"/>
      <c r="H47" s="269"/>
      <c r="I47" s="269"/>
      <c r="J47" s="269"/>
      <c r="K47" s="269"/>
      <c r="L47" s="269"/>
      <c r="M47" s="267"/>
    </row>
    <row r="48" spans="1:13" ht="11.25" customHeight="1">
      <c r="A48" s="270" t="s">
        <v>239</v>
      </c>
      <c r="B48" s="270"/>
      <c r="C48" s="270"/>
      <c r="D48" s="270"/>
      <c r="E48" s="270"/>
      <c r="F48" s="270"/>
      <c r="G48" s="270"/>
      <c r="H48" s="270"/>
      <c r="I48" s="270"/>
      <c r="J48" s="270"/>
      <c r="K48" s="270"/>
      <c r="L48" s="270"/>
      <c r="M48" s="267"/>
    </row>
  </sheetData>
  <mergeCells count="10">
    <mergeCell ref="A45:M45"/>
    <mergeCell ref="A46:M46"/>
    <mergeCell ref="A47:M47"/>
    <mergeCell ref="A48:M48"/>
    <mergeCell ref="A1:M1"/>
    <mergeCell ref="A2:M2"/>
    <mergeCell ref="A3:M3"/>
    <mergeCell ref="A4:M4"/>
    <mergeCell ref="A5:M5"/>
    <mergeCell ref="A44:M44"/>
  </mergeCells>
  <pageMargins left="0.5" right="0.5" top="0.5" bottom="0.7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95DC-4090-4924-B83A-40A40CB1F7DB}">
  <dimension ref="A1:R27"/>
  <sheetViews>
    <sheetView zoomScaleNormal="100" workbookViewId="0">
      <selection sqref="A1:Q1"/>
    </sheetView>
  </sheetViews>
  <sheetFormatPr defaultColWidth="9.33203125" defaultRowHeight="11.25" customHeight="1"/>
  <cols>
    <col min="1" max="1" width="30.5" style="1" customWidth="1"/>
    <col min="2" max="2" width="1.6640625" style="1" customWidth="1"/>
    <col min="3" max="3" width="10.6640625" style="1" bestFit="1" customWidth="1"/>
    <col min="4" max="4" width="1.6640625" style="1" customWidth="1"/>
    <col min="5" max="5" width="7.6640625" style="1" bestFit="1" customWidth="1"/>
    <col min="6" max="6" width="1.6640625" style="1" customWidth="1"/>
    <col min="7" max="7" width="10.6640625" style="1" bestFit="1" customWidth="1"/>
    <col min="8" max="8" width="1.6640625" style="1" customWidth="1"/>
    <col min="9" max="9" width="7.6640625" style="1" customWidth="1"/>
    <col min="10" max="10" width="1.6640625" style="1" customWidth="1"/>
    <col min="11" max="11" width="10.6640625" style="1" bestFit="1" customWidth="1"/>
    <col min="12" max="12" width="1.6640625" style="1" customWidth="1"/>
    <col min="13" max="13" width="7.6640625" style="1" customWidth="1"/>
    <col min="14" max="14" width="1.6640625" style="1" customWidth="1"/>
    <col min="15" max="15" width="10.6640625" style="1" customWidth="1"/>
    <col min="16" max="16" width="1.6640625" style="1" customWidth="1"/>
    <col min="17" max="17" width="7.6640625" style="1" customWidth="1"/>
    <col min="18" max="18" width="19.6640625" style="1" bestFit="1" customWidth="1"/>
    <col min="19" max="16384" width="9.33203125" style="1"/>
  </cols>
  <sheetData>
    <row r="1" spans="1:17" ht="11.25" customHeight="1">
      <c r="A1" s="280" t="s">
        <v>229</v>
      </c>
      <c r="B1" s="280"/>
      <c r="C1" s="280"/>
      <c r="D1" s="280"/>
      <c r="E1" s="280"/>
      <c r="F1" s="280"/>
      <c r="G1" s="280"/>
      <c r="H1" s="280"/>
      <c r="I1" s="280"/>
      <c r="J1" s="280"/>
      <c r="K1" s="280"/>
      <c r="L1" s="280"/>
      <c r="M1" s="280"/>
      <c r="N1" s="280"/>
      <c r="O1" s="280"/>
      <c r="P1" s="280"/>
      <c r="Q1" s="280"/>
    </row>
    <row r="2" spans="1:17" ht="11.25" customHeight="1">
      <c r="A2" s="280" t="s">
        <v>230</v>
      </c>
      <c r="B2" s="280"/>
      <c r="C2" s="280"/>
      <c r="D2" s="280"/>
      <c r="E2" s="280"/>
      <c r="F2" s="280"/>
      <c r="G2" s="280"/>
      <c r="H2" s="280"/>
      <c r="I2" s="280"/>
      <c r="J2" s="280"/>
      <c r="K2" s="280"/>
      <c r="L2" s="280"/>
      <c r="M2" s="280"/>
      <c r="N2" s="280"/>
      <c r="O2" s="280"/>
      <c r="P2" s="280"/>
      <c r="Q2" s="280"/>
    </row>
    <row r="3" spans="1:17" ht="11.25" customHeight="1">
      <c r="A3" s="273"/>
      <c r="B3" s="281"/>
      <c r="C3" s="281"/>
      <c r="D3" s="281"/>
      <c r="E3" s="281"/>
      <c r="F3" s="281"/>
      <c r="G3" s="281"/>
      <c r="H3" s="281"/>
      <c r="I3" s="281"/>
      <c r="J3" s="281"/>
      <c r="K3" s="281"/>
      <c r="L3" s="281"/>
      <c r="M3" s="281"/>
      <c r="N3" s="281"/>
      <c r="O3" s="281"/>
      <c r="P3" s="281"/>
      <c r="Q3" s="281"/>
    </row>
    <row r="4" spans="1:17" ht="11.25" customHeight="1">
      <c r="A4" s="44"/>
      <c r="B4" s="44"/>
      <c r="C4" s="282" t="s">
        <v>241</v>
      </c>
      <c r="D4" s="283"/>
      <c r="E4" s="283"/>
      <c r="F4" s="283"/>
      <c r="G4" s="283"/>
      <c r="H4" s="283"/>
      <c r="I4" s="283"/>
      <c r="J4" s="45"/>
      <c r="K4" s="282" t="s">
        <v>276</v>
      </c>
      <c r="L4" s="283"/>
      <c r="M4" s="283"/>
      <c r="N4" s="283"/>
      <c r="O4" s="283"/>
      <c r="P4" s="283"/>
      <c r="Q4" s="283"/>
    </row>
    <row r="5" spans="1:17" ht="11.25" customHeight="1">
      <c r="A5" s="46"/>
      <c r="B5" s="46"/>
      <c r="C5" s="47" t="s">
        <v>9</v>
      </c>
      <c r="D5" s="48"/>
      <c r="E5" s="47"/>
      <c r="F5" s="48"/>
      <c r="G5" s="47"/>
      <c r="H5" s="48"/>
      <c r="I5" s="47"/>
      <c r="J5" s="49"/>
      <c r="K5" s="47" t="s">
        <v>9</v>
      </c>
      <c r="L5" s="48"/>
      <c r="M5" s="47"/>
      <c r="N5" s="48"/>
      <c r="O5" s="47"/>
      <c r="P5" s="48"/>
      <c r="Q5" s="47"/>
    </row>
    <row r="6" spans="1:17" ht="11.25" customHeight="1">
      <c r="A6" s="46"/>
      <c r="B6" s="46"/>
      <c r="C6" s="73" t="s">
        <v>12</v>
      </c>
      <c r="D6" s="49"/>
      <c r="E6" s="73" t="s">
        <v>199</v>
      </c>
      <c r="F6" s="49"/>
      <c r="G6" s="73" t="s">
        <v>10</v>
      </c>
      <c r="H6" s="49"/>
      <c r="I6" s="73" t="s">
        <v>199</v>
      </c>
      <c r="J6" s="49"/>
      <c r="K6" s="73" t="s">
        <v>12</v>
      </c>
      <c r="L6" s="49"/>
      <c r="M6" s="73" t="s">
        <v>199</v>
      </c>
      <c r="N6" s="49"/>
      <c r="O6" s="73" t="s">
        <v>10</v>
      </c>
      <c r="P6" s="49"/>
      <c r="Q6" s="73" t="s">
        <v>199</v>
      </c>
    </row>
    <row r="7" spans="1:17" ht="11.25" customHeight="1">
      <c r="A7" s="74" t="s">
        <v>196</v>
      </c>
      <c r="B7" s="75"/>
      <c r="C7" s="74" t="s">
        <v>13</v>
      </c>
      <c r="D7" s="76"/>
      <c r="E7" s="74" t="s">
        <v>14</v>
      </c>
      <c r="F7" s="76"/>
      <c r="G7" s="74" t="s">
        <v>231</v>
      </c>
      <c r="H7" s="76"/>
      <c r="I7" s="74" t="s">
        <v>14</v>
      </c>
      <c r="J7" s="76"/>
      <c r="K7" s="74" t="s">
        <v>13</v>
      </c>
      <c r="L7" s="76"/>
      <c r="M7" s="74" t="s">
        <v>14</v>
      </c>
      <c r="N7" s="76"/>
      <c r="O7" s="74" t="s">
        <v>231</v>
      </c>
      <c r="P7" s="76"/>
      <c r="Q7" s="74" t="s">
        <v>14</v>
      </c>
    </row>
    <row r="8" spans="1:17" ht="11.25" customHeight="1">
      <c r="A8" s="50" t="s">
        <v>15</v>
      </c>
      <c r="B8" s="44"/>
      <c r="C8" s="51"/>
      <c r="D8" s="45"/>
      <c r="E8" s="51"/>
      <c r="F8" s="45"/>
      <c r="G8" s="51"/>
      <c r="H8" s="45"/>
      <c r="I8" s="51"/>
      <c r="J8" s="45"/>
      <c r="K8" s="51"/>
      <c r="L8" s="45"/>
      <c r="M8" s="51"/>
      <c r="N8" s="45"/>
      <c r="O8" s="51"/>
      <c r="P8" s="45"/>
      <c r="Q8" s="51"/>
    </row>
    <row r="9" spans="1:17" ht="11.25" customHeight="1">
      <c r="A9" s="52" t="s">
        <v>17</v>
      </c>
      <c r="B9" s="53"/>
      <c r="C9" s="10">
        <v>1450</v>
      </c>
      <c r="D9" s="55"/>
      <c r="E9" s="58">
        <v>2</v>
      </c>
      <c r="F9" s="55"/>
      <c r="G9" s="57">
        <v>55100</v>
      </c>
      <c r="H9" s="55"/>
      <c r="I9" s="58">
        <v>1</v>
      </c>
      <c r="J9" s="25" t="s">
        <v>225</v>
      </c>
      <c r="K9" s="10">
        <v>1390</v>
      </c>
      <c r="L9" s="55"/>
      <c r="M9" s="58">
        <v>1</v>
      </c>
      <c r="N9" s="55"/>
      <c r="O9" s="57">
        <v>64800</v>
      </c>
      <c r="P9" s="55"/>
      <c r="Q9" s="58">
        <v>1</v>
      </c>
    </row>
    <row r="10" spans="1:17" ht="11.25" customHeight="1">
      <c r="A10" s="52" t="s">
        <v>16</v>
      </c>
      <c r="B10" s="53"/>
      <c r="C10" s="54">
        <v>125</v>
      </c>
      <c r="D10" s="55"/>
      <c r="E10" s="56" t="s">
        <v>179</v>
      </c>
      <c r="F10" s="55"/>
      <c r="G10" s="10">
        <v>7490</v>
      </c>
      <c r="H10" s="55"/>
      <c r="I10" s="56" t="s">
        <v>179</v>
      </c>
      <c r="J10" s="55"/>
      <c r="K10" s="54">
        <v>132</v>
      </c>
      <c r="L10" s="55"/>
      <c r="M10" s="56" t="s">
        <v>179</v>
      </c>
      <c r="N10" s="55"/>
      <c r="O10" s="10">
        <v>8910</v>
      </c>
      <c r="P10" s="55"/>
      <c r="Q10" s="56" t="s">
        <v>179</v>
      </c>
    </row>
    <row r="11" spans="1:17" ht="11.25" customHeight="1">
      <c r="A11" s="59" t="s">
        <v>18</v>
      </c>
      <c r="B11" s="53"/>
      <c r="C11" s="10"/>
      <c r="D11" s="55"/>
      <c r="E11" s="58"/>
      <c r="F11" s="55"/>
      <c r="G11" s="10"/>
      <c r="H11" s="55"/>
      <c r="I11" s="58"/>
      <c r="J11" s="55"/>
      <c r="K11" s="10"/>
      <c r="L11" s="55"/>
      <c r="M11" s="58"/>
      <c r="N11" s="55"/>
      <c r="O11" s="10"/>
      <c r="P11" s="55"/>
      <c r="Q11" s="58"/>
    </row>
    <row r="12" spans="1:17" ht="11.25" customHeight="1">
      <c r="A12" s="52" t="s">
        <v>19</v>
      </c>
      <c r="B12" s="53"/>
      <c r="C12" s="10">
        <v>24500</v>
      </c>
      <c r="D12" s="25" t="s">
        <v>225</v>
      </c>
      <c r="E12" s="58">
        <v>27</v>
      </c>
      <c r="F12" s="25" t="s">
        <v>225</v>
      </c>
      <c r="G12" s="10">
        <v>1160000</v>
      </c>
      <c r="H12" s="25" t="s">
        <v>225</v>
      </c>
      <c r="I12" s="58">
        <v>31</v>
      </c>
      <c r="J12" s="25" t="s">
        <v>225</v>
      </c>
      <c r="K12" s="10">
        <v>29300</v>
      </c>
      <c r="L12" s="55"/>
      <c r="M12" s="58">
        <v>26</v>
      </c>
      <c r="N12" s="55"/>
      <c r="O12" s="10">
        <v>1580000</v>
      </c>
      <c r="P12" s="55"/>
      <c r="Q12" s="58">
        <v>31</v>
      </c>
    </row>
    <row r="13" spans="1:17" ht="11.25" customHeight="1">
      <c r="A13" s="52" t="s">
        <v>20</v>
      </c>
      <c r="B13" s="53"/>
      <c r="C13" s="10">
        <v>5760</v>
      </c>
      <c r="D13" s="25" t="s">
        <v>225</v>
      </c>
      <c r="E13" s="58">
        <v>6</v>
      </c>
      <c r="F13" s="25" t="s">
        <v>225</v>
      </c>
      <c r="G13" s="10">
        <v>294000</v>
      </c>
      <c r="H13" s="25" t="s">
        <v>225</v>
      </c>
      <c r="I13" s="58">
        <v>8</v>
      </c>
      <c r="J13" s="25" t="s">
        <v>225</v>
      </c>
      <c r="K13" s="10">
        <v>6780</v>
      </c>
      <c r="L13" s="55"/>
      <c r="M13" s="58">
        <v>6</v>
      </c>
      <c r="N13" s="55"/>
      <c r="O13" s="10">
        <v>410000</v>
      </c>
      <c r="P13" s="55"/>
      <c r="Q13" s="58">
        <v>8</v>
      </c>
    </row>
    <row r="14" spans="1:17" ht="11.25" customHeight="1">
      <c r="A14" s="50" t="s">
        <v>21</v>
      </c>
      <c r="B14" s="53"/>
      <c r="C14" s="10"/>
      <c r="D14" s="55"/>
      <c r="E14" s="58"/>
      <c r="F14" s="55"/>
      <c r="G14" s="10"/>
      <c r="H14" s="55"/>
      <c r="I14" s="58"/>
      <c r="J14" s="55"/>
      <c r="K14" s="10"/>
      <c r="L14" s="55"/>
      <c r="M14" s="58"/>
      <c r="N14" s="55"/>
      <c r="O14" s="10"/>
      <c r="P14" s="55"/>
      <c r="Q14" s="58"/>
    </row>
    <row r="15" spans="1:17" ht="11.25" customHeight="1">
      <c r="A15" s="52" t="s">
        <v>23</v>
      </c>
      <c r="B15" s="53"/>
      <c r="C15" s="10">
        <v>2800</v>
      </c>
      <c r="D15" s="25" t="s">
        <v>225</v>
      </c>
      <c r="E15" s="58">
        <v>3</v>
      </c>
      <c r="F15" s="25" t="s">
        <v>225</v>
      </c>
      <c r="G15" s="10">
        <v>108000</v>
      </c>
      <c r="H15" s="25" t="s">
        <v>225</v>
      </c>
      <c r="I15" s="58">
        <v>3</v>
      </c>
      <c r="J15" s="25" t="s">
        <v>225</v>
      </c>
      <c r="K15" s="10">
        <v>2850</v>
      </c>
      <c r="L15" s="55"/>
      <c r="M15" s="58">
        <v>3</v>
      </c>
      <c r="N15" s="55"/>
      <c r="O15" s="10">
        <v>163000</v>
      </c>
      <c r="P15" s="55"/>
      <c r="Q15" s="58">
        <v>3</v>
      </c>
    </row>
    <row r="16" spans="1:17" ht="11.25" customHeight="1">
      <c r="A16" s="52" t="s">
        <v>22</v>
      </c>
      <c r="B16" s="53"/>
      <c r="C16" s="10">
        <v>3930</v>
      </c>
      <c r="D16" s="25" t="s">
        <v>225</v>
      </c>
      <c r="E16" s="58">
        <v>4</v>
      </c>
      <c r="F16" s="25" t="s">
        <v>225</v>
      </c>
      <c r="G16" s="10">
        <v>152000</v>
      </c>
      <c r="H16" s="25" t="s">
        <v>225</v>
      </c>
      <c r="I16" s="58">
        <v>4</v>
      </c>
      <c r="J16" s="25" t="s">
        <v>225</v>
      </c>
      <c r="K16" s="10">
        <v>4190</v>
      </c>
      <c r="L16" s="55"/>
      <c r="M16" s="58">
        <v>4</v>
      </c>
      <c r="N16" s="55"/>
      <c r="O16" s="10">
        <v>246000</v>
      </c>
      <c r="P16" s="55"/>
      <c r="Q16" s="58">
        <v>5</v>
      </c>
    </row>
    <row r="17" spans="1:18" ht="11.25" customHeight="1">
      <c r="A17" s="52" t="s">
        <v>24</v>
      </c>
      <c r="B17" s="53"/>
      <c r="C17" s="10">
        <v>49900</v>
      </c>
      <c r="D17" s="25" t="s">
        <v>225</v>
      </c>
      <c r="E17" s="58">
        <v>55</v>
      </c>
      <c r="F17" s="25" t="s">
        <v>225</v>
      </c>
      <c r="G17" s="10">
        <v>1820000</v>
      </c>
      <c r="H17" s="25" t="s">
        <v>225</v>
      </c>
      <c r="I17" s="58">
        <v>49</v>
      </c>
      <c r="J17" s="25" t="s">
        <v>225</v>
      </c>
      <c r="K17" s="10">
        <v>65500</v>
      </c>
      <c r="L17" s="55"/>
      <c r="M17" s="58">
        <v>57</v>
      </c>
      <c r="N17" s="55"/>
      <c r="O17" s="10">
        <v>2490000</v>
      </c>
      <c r="P17" s="55"/>
      <c r="Q17" s="58">
        <v>48</v>
      </c>
    </row>
    <row r="18" spans="1:18" ht="11.25" customHeight="1">
      <c r="A18" s="50" t="s">
        <v>25</v>
      </c>
      <c r="B18" s="53"/>
      <c r="C18" s="10"/>
      <c r="D18" s="55"/>
      <c r="E18" s="58"/>
      <c r="F18" s="55"/>
      <c r="G18" s="10"/>
      <c r="H18" s="55"/>
      <c r="I18" s="58"/>
      <c r="J18" s="55"/>
      <c r="K18" s="10"/>
      <c r="L18" s="55"/>
      <c r="M18" s="58"/>
      <c r="N18" s="55"/>
      <c r="O18" s="10"/>
      <c r="P18" s="55"/>
      <c r="Q18" s="58"/>
    </row>
    <row r="19" spans="1:18" ht="11.25" customHeight="1">
      <c r="A19" s="52" t="s">
        <v>26</v>
      </c>
      <c r="B19" s="53"/>
      <c r="C19" s="10">
        <v>1010</v>
      </c>
      <c r="D19" s="25" t="s">
        <v>225</v>
      </c>
      <c r="E19" s="58">
        <v>1</v>
      </c>
      <c r="F19" s="55"/>
      <c r="G19" s="10">
        <v>33700</v>
      </c>
      <c r="H19" s="25" t="s">
        <v>225</v>
      </c>
      <c r="I19" s="58">
        <v>1</v>
      </c>
      <c r="J19" s="25"/>
      <c r="K19" s="10">
        <v>2150</v>
      </c>
      <c r="L19" s="55"/>
      <c r="M19" s="58">
        <v>2</v>
      </c>
      <c r="N19" s="55"/>
      <c r="O19" s="10">
        <v>99400</v>
      </c>
      <c r="P19" s="55"/>
      <c r="Q19" s="58">
        <v>2</v>
      </c>
    </row>
    <row r="20" spans="1:18" ht="11.25" customHeight="1">
      <c r="A20" s="52" t="s">
        <v>27</v>
      </c>
      <c r="B20" s="53"/>
      <c r="C20" s="10">
        <v>1730</v>
      </c>
      <c r="D20" s="25" t="s">
        <v>225</v>
      </c>
      <c r="E20" s="58">
        <v>2</v>
      </c>
      <c r="F20" s="55"/>
      <c r="G20" s="10">
        <v>95600</v>
      </c>
      <c r="H20" s="25" t="s">
        <v>225</v>
      </c>
      <c r="I20" s="58">
        <v>3</v>
      </c>
      <c r="J20" s="25"/>
      <c r="K20" s="10">
        <v>1620</v>
      </c>
      <c r="L20" s="55"/>
      <c r="M20" s="58">
        <v>1</v>
      </c>
      <c r="N20" s="55"/>
      <c r="O20" s="10">
        <v>101000</v>
      </c>
      <c r="P20" s="55"/>
      <c r="Q20" s="58">
        <v>2</v>
      </c>
    </row>
    <row r="21" spans="1:18" ht="11.25" customHeight="1">
      <c r="A21" s="60" t="s">
        <v>6</v>
      </c>
      <c r="B21" s="77"/>
      <c r="C21" s="61">
        <v>91200</v>
      </c>
      <c r="D21" s="168" t="s">
        <v>225</v>
      </c>
      <c r="E21" s="62">
        <v>100</v>
      </c>
      <c r="F21" s="63"/>
      <c r="G21" s="61">
        <v>3720000</v>
      </c>
      <c r="H21" s="168" t="s">
        <v>225</v>
      </c>
      <c r="I21" s="62">
        <v>100</v>
      </c>
      <c r="J21" s="63"/>
      <c r="K21" s="61">
        <v>114000</v>
      </c>
      <c r="L21" s="63"/>
      <c r="M21" s="62">
        <v>100</v>
      </c>
      <c r="N21" s="63"/>
      <c r="O21" s="61">
        <v>5160000</v>
      </c>
      <c r="P21" s="63"/>
      <c r="Q21" s="62">
        <v>100</v>
      </c>
    </row>
    <row r="22" spans="1:18" ht="11.25" customHeight="1">
      <c r="A22" s="275" t="s">
        <v>232</v>
      </c>
      <c r="B22" s="284"/>
      <c r="C22" s="284"/>
      <c r="D22" s="284"/>
      <c r="E22" s="284"/>
      <c r="F22" s="284"/>
      <c r="G22" s="284"/>
      <c r="H22" s="284"/>
      <c r="I22" s="284"/>
      <c r="J22" s="284"/>
      <c r="K22" s="284"/>
      <c r="L22" s="284"/>
      <c r="M22" s="284"/>
      <c r="N22" s="284"/>
      <c r="O22" s="284"/>
      <c r="P22" s="284"/>
      <c r="Q22" s="284"/>
    </row>
    <row r="23" spans="1:18" ht="11.25" customHeight="1">
      <c r="A23" s="268" t="s">
        <v>285</v>
      </c>
      <c r="B23" s="268"/>
      <c r="C23" s="268"/>
      <c r="D23" s="268"/>
      <c r="E23" s="268"/>
      <c r="F23" s="268"/>
      <c r="G23" s="268"/>
      <c r="H23" s="268"/>
      <c r="I23" s="268"/>
      <c r="J23" s="268"/>
      <c r="K23" s="268"/>
      <c r="L23" s="268"/>
      <c r="M23" s="268"/>
      <c r="N23" s="268"/>
      <c r="O23" s="268"/>
      <c r="P23" s="268"/>
      <c r="Q23" s="268"/>
    </row>
    <row r="24" spans="1:18" ht="33.75" customHeight="1">
      <c r="A24" s="278" t="s">
        <v>272</v>
      </c>
      <c r="B24" s="279"/>
      <c r="C24" s="279"/>
      <c r="D24" s="279"/>
      <c r="E24" s="279"/>
      <c r="F24" s="279"/>
      <c r="G24" s="279"/>
      <c r="H24" s="279"/>
      <c r="I24" s="279"/>
      <c r="J24" s="279"/>
      <c r="K24" s="279"/>
      <c r="L24" s="279"/>
      <c r="M24" s="279"/>
      <c r="N24" s="279"/>
      <c r="O24" s="279"/>
      <c r="P24" s="279"/>
      <c r="Q24" s="279"/>
      <c r="R24" s="78"/>
    </row>
    <row r="25" spans="1:18" ht="11.25" customHeight="1">
      <c r="A25" s="268" t="s">
        <v>184</v>
      </c>
      <c r="B25" s="268"/>
      <c r="C25" s="268"/>
      <c r="D25" s="268"/>
      <c r="E25" s="268"/>
      <c r="F25" s="268"/>
      <c r="G25" s="268"/>
      <c r="H25" s="268"/>
      <c r="I25" s="268"/>
      <c r="J25" s="268"/>
      <c r="K25" s="268"/>
      <c r="L25" s="268"/>
      <c r="M25" s="268"/>
      <c r="N25" s="268"/>
      <c r="O25" s="268"/>
      <c r="P25" s="268"/>
      <c r="Q25" s="268"/>
    </row>
    <row r="26" spans="1:18" ht="11.25" customHeight="1">
      <c r="C26" s="2"/>
      <c r="E26" s="2"/>
      <c r="G26" s="2"/>
      <c r="I26" s="2"/>
      <c r="K26" s="2"/>
      <c r="M26" s="2"/>
      <c r="O26" s="2"/>
      <c r="Q26" s="2"/>
    </row>
    <row r="27" spans="1:18" ht="11.25" customHeight="1">
      <c r="M27" s="3"/>
      <c r="N27" s="3"/>
      <c r="O27" s="3"/>
      <c r="P27" s="3"/>
      <c r="Q27" s="3"/>
    </row>
  </sheetData>
  <mergeCells count="9">
    <mergeCell ref="A23:Q23"/>
    <mergeCell ref="A24:Q24"/>
    <mergeCell ref="A25:Q25"/>
    <mergeCell ref="A1:Q1"/>
    <mergeCell ref="A2:Q2"/>
    <mergeCell ref="A3:Q3"/>
    <mergeCell ref="C4:I4"/>
    <mergeCell ref="K4:Q4"/>
    <mergeCell ref="A22:Q22"/>
  </mergeCells>
  <pageMargins left="0.5" right="0.5" top="0.5" bottom="0.75"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238D-3511-442A-8A3D-333E649430C0}">
  <dimension ref="A1:P55"/>
  <sheetViews>
    <sheetView zoomScaleNormal="100" workbookViewId="0">
      <selection sqref="A1:I1"/>
    </sheetView>
  </sheetViews>
  <sheetFormatPr defaultColWidth="9.33203125" defaultRowHeight="11.25" customHeight="1"/>
  <cols>
    <col min="1" max="1" width="12.6640625" style="1" bestFit="1" customWidth="1"/>
    <col min="2" max="2" width="1.6640625" style="1" customWidth="1"/>
    <col min="3" max="3" width="9" style="1" customWidth="1"/>
    <col min="4" max="4" width="1.6640625" style="1" customWidth="1"/>
    <col min="5" max="5" width="10.1640625" style="1" customWidth="1"/>
    <col min="6" max="6" width="1.6640625" style="1" customWidth="1"/>
    <col min="7" max="7" width="9" style="1" customWidth="1"/>
    <col min="8" max="8" width="1.6640625" style="1" customWidth="1"/>
    <col min="9" max="9" width="9.5" style="1" customWidth="1"/>
    <col min="10" max="16384" width="9.33203125" style="1"/>
  </cols>
  <sheetData>
    <row r="1" spans="1:9" ht="11.25" customHeight="1">
      <c r="A1" s="280" t="s">
        <v>202</v>
      </c>
      <c r="B1" s="280"/>
      <c r="C1" s="280"/>
      <c r="D1" s="280"/>
      <c r="E1" s="280"/>
      <c r="F1" s="280"/>
      <c r="G1" s="280"/>
      <c r="H1" s="280"/>
      <c r="I1" s="280"/>
    </row>
    <row r="2" spans="1:9" ht="11.25" customHeight="1">
      <c r="A2" s="280" t="s">
        <v>28</v>
      </c>
      <c r="B2" s="280"/>
      <c r="C2" s="280"/>
      <c r="D2" s="280"/>
      <c r="E2" s="280"/>
      <c r="F2" s="280"/>
      <c r="G2" s="280"/>
      <c r="H2" s="280"/>
      <c r="I2" s="280"/>
    </row>
    <row r="3" spans="1:9" ht="11.25" customHeight="1">
      <c r="A3" s="280" t="s">
        <v>187</v>
      </c>
      <c r="B3" s="280"/>
      <c r="C3" s="280"/>
      <c r="D3" s="280"/>
      <c r="E3" s="280"/>
      <c r="F3" s="280"/>
      <c r="G3" s="280"/>
      <c r="H3" s="280"/>
      <c r="I3" s="280"/>
    </row>
    <row r="4" spans="1:9" ht="11.25" customHeight="1">
      <c r="A4" s="271"/>
      <c r="B4" s="272"/>
      <c r="C4" s="272"/>
      <c r="D4" s="272"/>
      <c r="E4" s="272"/>
      <c r="F4" s="272"/>
      <c r="G4" s="272"/>
      <c r="H4" s="272"/>
      <c r="I4" s="272"/>
    </row>
    <row r="5" spans="1:9" ht="11.25" customHeight="1">
      <c r="A5" s="280" t="s">
        <v>29</v>
      </c>
      <c r="B5" s="280"/>
      <c r="C5" s="280"/>
      <c r="D5" s="280"/>
      <c r="E5" s="280"/>
      <c r="F5" s="280"/>
      <c r="G5" s="280"/>
      <c r="H5" s="280"/>
      <c r="I5" s="280"/>
    </row>
    <row r="6" spans="1:9" ht="11.25" customHeight="1">
      <c r="A6" s="273"/>
      <c r="B6" s="281"/>
      <c r="C6" s="281"/>
      <c r="D6" s="281"/>
      <c r="E6" s="281"/>
      <c r="F6" s="281"/>
      <c r="G6" s="281"/>
      <c r="H6" s="281"/>
      <c r="I6" s="281"/>
    </row>
    <row r="7" spans="1:9" ht="11.25" customHeight="1">
      <c r="A7" s="44"/>
      <c r="B7" s="45"/>
      <c r="C7" s="282" t="s">
        <v>241</v>
      </c>
      <c r="D7" s="283"/>
      <c r="E7" s="283"/>
      <c r="F7" s="45"/>
      <c r="G7" s="282" t="s">
        <v>276</v>
      </c>
      <c r="H7" s="285"/>
      <c r="I7" s="285"/>
    </row>
    <row r="8" spans="1:9" ht="11.25" customHeight="1">
      <c r="A8" s="235" t="s">
        <v>30</v>
      </c>
      <c r="B8" s="105"/>
      <c r="C8" s="236" t="s">
        <v>31</v>
      </c>
      <c r="D8" s="195"/>
      <c r="E8" s="236" t="s">
        <v>10</v>
      </c>
      <c r="F8" s="76"/>
      <c r="G8" s="236" t="s">
        <v>31</v>
      </c>
      <c r="H8" s="195"/>
      <c r="I8" s="236" t="s">
        <v>10</v>
      </c>
    </row>
    <row r="9" spans="1:9" ht="11.25" customHeight="1">
      <c r="A9" s="50" t="s">
        <v>32</v>
      </c>
      <c r="B9" s="45"/>
      <c r="C9" s="10">
        <v>1190</v>
      </c>
      <c r="D9" s="25" t="s">
        <v>225</v>
      </c>
      <c r="E9" s="10">
        <v>39600</v>
      </c>
      <c r="F9" s="196" t="s">
        <v>225</v>
      </c>
      <c r="G9" s="10">
        <v>1200</v>
      </c>
      <c r="H9" s="2"/>
      <c r="I9" s="10">
        <v>75800</v>
      </c>
    </row>
    <row r="10" spans="1:9" ht="11.25" customHeight="1">
      <c r="A10" s="50" t="s">
        <v>33</v>
      </c>
      <c r="B10" s="103"/>
      <c r="C10" s="26" t="s">
        <v>34</v>
      </c>
      <c r="D10" s="2"/>
      <c r="E10" s="26" t="s">
        <v>34</v>
      </c>
      <c r="F10" s="128"/>
      <c r="G10" s="18">
        <v>572</v>
      </c>
      <c r="H10" s="2"/>
      <c r="I10" s="18">
        <v>28400</v>
      </c>
    </row>
    <row r="11" spans="1:9" ht="11.25" customHeight="1">
      <c r="A11" s="50" t="s">
        <v>35</v>
      </c>
      <c r="B11" s="103"/>
      <c r="C11" s="10">
        <v>3890</v>
      </c>
      <c r="D11" s="2"/>
      <c r="E11" s="10">
        <v>181000</v>
      </c>
      <c r="F11" s="119"/>
      <c r="G11" s="10">
        <v>3680</v>
      </c>
      <c r="H11" s="2"/>
      <c r="I11" s="10">
        <v>182000</v>
      </c>
    </row>
    <row r="12" spans="1:9" ht="11.25" customHeight="1">
      <c r="A12" s="50" t="s">
        <v>36</v>
      </c>
      <c r="B12" s="103"/>
      <c r="C12" s="10">
        <v>1440</v>
      </c>
      <c r="D12" s="25" t="s">
        <v>225</v>
      </c>
      <c r="E12" s="10">
        <v>81600</v>
      </c>
      <c r="F12" s="25" t="s">
        <v>225</v>
      </c>
      <c r="G12" s="10">
        <v>1330</v>
      </c>
      <c r="H12" s="2"/>
      <c r="I12" s="10">
        <v>85800</v>
      </c>
    </row>
    <row r="13" spans="1:9" ht="11.25" customHeight="1">
      <c r="A13" s="50" t="s">
        <v>37</v>
      </c>
      <c r="B13" s="103"/>
      <c r="C13" s="23" t="s">
        <v>34</v>
      </c>
      <c r="D13" s="25"/>
      <c r="E13" s="23" t="s">
        <v>34</v>
      </c>
      <c r="F13" s="25"/>
      <c r="G13" s="23" t="s">
        <v>34</v>
      </c>
      <c r="H13" s="2"/>
      <c r="I13" s="23" t="s">
        <v>34</v>
      </c>
    </row>
    <row r="14" spans="1:9" ht="11.25" customHeight="1">
      <c r="A14" s="50" t="s">
        <v>38</v>
      </c>
      <c r="B14" s="103"/>
      <c r="C14" s="23" t="s">
        <v>34</v>
      </c>
      <c r="D14" s="2"/>
      <c r="E14" s="23" t="s">
        <v>34</v>
      </c>
      <c r="F14" s="119"/>
      <c r="G14" s="23" t="s">
        <v>34</v>
      </c>
      <c r="H14" s="2"/>
      <c r="I14" s="23" t="s">
        <v>34</v>
      </c>
    </row>
    <row r="15" spans="1:9" ht="11.25" customHeight="1">
      <c r="A15" s="50" t="s">
        <v>39</v>
      </c>
      <c r="B15" s="103"/>
      <c r="C15" s="10">
        <v>934</v>
      </c>
      <c r="D15" s="2"/>
      <c r="E15" s="10">
        <v>32700</v>
      </c>
      <c r="F15" s="112"/>
      <c r="G15" s="10">
        <v>898</v>
      </c>
      <c r="H15" s="2"/>
      <c r="I15" s="10">
        <v>52700</v>
      </c>
    </row>
    <row r="16" spans="1:9" ht="11.25" customHeight="1">
      <c r="A16" s="50" t="s">
        <v>40</v>
      </c>
      <c r="B16" s="103"/>
      <c r="C16" s="10">
        <v>91</v>
      </c>
      <c r="D16" s="25" t="s">
        <v>225</v>
      </c>
      <c r="E16" s="10">
        <v>2550</v>
      </c>
      <c r="F16" s="25" t="s">
        <v>225</v>
      </c>
      <c r="G16" s="10">
        <v>104</v>
      </c>
      <c r="H16" s="2"/>
      <c r="I16" s="10">
        <v>5750</v>
      </c>
    </row>
    <row r="17" spans="1:9" ht="11.25" customHeight="1">
      <c r="A17" s="197" t="s">
        <v>41</v>
      </c>
      <c r="B17" s="103"/>
      <c r="C17" s="10">
        <v>9040</v>
      </c>
      <c r="D17" s="2"/>
      <c r="E17" s="10">
        <v>311000</v>
      </c>
      <c r="F17" s="119"/>
      <c r="G17" s="10">
        <v>10300</v>
      </c>
      <c r="H17" s="2"/>
      <c r="I17" s="10">
        <v>509000</v>
      </c>
    </row>
    <row r="18" spans="1:9" ht="11.25" customHeight="1">
      <c r="A18" s="197" t="s">
        <v>42</v>
      </c>
      <c r="B18" s="103"/>
      <c r="C18" s="23" t="s">
        <v>34</v>
      </c>
      <c r="D18" s="2"/>
      <c r="E18" s="23" t="s">
        <v>34</v>
      </c>
      <c r="F18" s="119"/>
      <c r="G18" s="23" t="s">
        <v>34</v>
      </c>
      <c r="H18" s="2"/>
      <c r="I18" s="23" t="s">
        <v>34</v>
      </c>
    </row>
    <row r="19" spans="1:9" ht="11.25" customHeight="1">
      <c r="A19" s="197" t="s">
        <v>43</v>
      </c>
      <c r="B19" s="103"/>
      <c r="C19" s="23" t="s">
        <v>34</v>
      </c>
      <c r="D19" s="2"/>
      <c r="E19" s="23" t="s">
        <v>34</v>
      </c>
      <c r="F19" s="119"/>
      <c r="G19" s="23" t="s">
        <v>34</v>
      </c>
      <c r="H19" s="2"/>
      <c r="I19" s="23" t="s">
        <v>34</v>
      </c>
    </row>
    <row r="20" spans="1:9" ht="11.25" customHeight="1">
      <c r="A20" s="197" t="s">
        <v>45</v>
      </c>
      <c r="B20" s="103"/>
      <c r="C20" s="10">
        <v>3180</v>
      </c>
      <c r="D20" s="25" t="s">
        <v>225</v>
      </c>
      <c r="E20" s="10">
        <v>132000</v>
      </c>
      <c r="F20" s="25" t="s">
        <v>225</v>
      </c>
      <c r="G20" s="10">
        <v>7670</v>
      </c>
      <c r="H20" s="2"/>
      <c r="I20" s="10">
        <v>363000</v>
      </c>
    </row>
    <row r="21" spans="1:9" ht="11.25" customHeight="1">
      <c r="A21" s="197" t="s">
        <v>48</v>
      </c>
      <c r="B21" s="103"/>
      <c r="C21" s="10">
        <v>1530</v>
      </c>
      <c r="D21" s="25" t="s">
        <v>225</v>
      </c>
      <c r="E21" s="10">
        <v>76000</v>
      </c>
      <c r="F21" s="119" t="s">
        <v>225</v>
      </c>
      <c r="G21" s="10">
        <v>1780</v>
      </c>
      <c r="H21" s="2"/>
      <c r="I21" s="10">
        <v>82300</v>
      </c>
    </row>
    <row r="22" spans="1:9" ht="11.25" customHeight="1">
      <c r="A22" s="197" t="s">
        <v>49</v>
      </c>
      <c r="B22" s="103"/>
      <c r="C22" s="10">
        <v>597</v>
      </c>
      <c r="D22" s="25" t="s">
        <v>225</v>
      </c>
      <c r="E22" s="10">
        <v>26900</v>
      </c>
      <c r="F22" s="119" t="s">
        <v>225</v>
      </c>
      <c r="G22" s="10">
        <v>645</v>
      </c>
      <c r="H22" s="2"/>
      <c r="I22" s="10">
        <v>42500</v>
      </c>
    </row>
    <row r="23" spans="1:9" ht="11.25" customHeight="1">
      <c r="A23" s="197" t="s">
        <v>50</v>
      </c>
      <c r="B23" s="103"/>
      <c r="C23" s="23" t="s">
        <v>34</v>
      </c>
      <c r="D23" s="3"/>
      <c r="E23" s="23" t="s">
        <v>34</v>
      </c>
      <c r="F23" s="119"/>
      <c r="G23" s="23" t="s">
        <v>34</v>
      </c>
      <c r="H23" s="3"/>
      <c r="I23" s="23" t="s">
        <v>34</v>
      </c>
    </row>
    <row r="24" spans="1:9" ht="11.25" customHeight="1">
      <c r="A24" s="197" t="s">
        <v>51</v>
      </c>
      <c r="B24" s="103"/>
      <c r="C24" s="10">
        <v>3610</v>
      </c>
      <c r="D24" s="2"/>
      <c r="E24" s="10">
        <v>189000</v>
      </c>
      <c r="F24" s="119"/>
      <c r="G24" s="23" t="s">
        <v>34</v>
      </c>
      <c r="H24" s="2"/>
      <c r="I24" s="23" t="s">
        <v>34</v>
      </c>
    </row>
    <row r="25" spans="1:9" ht="11.25" customHeight="1">
      <c r="A25" s="197" t="s">
        <v>108</v>
      </c>
      <c r="B25" s="103"/>
      <c r="C25" s="26" t="s">
        <v>34</v>
      </c>
      <c r="D25" s="2"/>
      <c r="E25" s="26" t="s">
        <v>34</v>
      </c>
      <c r="F25" s="103"/>
      <c r="G25" s="26" t="s">
        <v>34</v>
      </c>
      <c r="H25" s="2"/>
      <c r="I25" s="26" t="s">
        <v>34</v>
      </c>
    </row>
    <row r="26" spans="1:9" ht="11.25" customHeight="1">
      <c r="A26" s="197" t="s">
        <v>52</v>
      </c>
      <c r="B26" s="103"/>
      <c r="C26" s="26" t="s">
        <v>34</v>
      </c>
      <c r="D26" s="2"/>
      <c r="E26" s="26" t="s">
        <v>34</v>
      </c>
      <c r="F26" s="128"/>
      <c r="G26" s="26" t="s">
        <v>34</v>
      </c>
      <c r="H26" s="2"/>
      <c r="I26" s="26" t="s">
        <v>34</v>
      </c>
    </row>
    <row r="27" spans="1:9" ht="11.25" customHeight="1">
      <c r="A27" s="197" t="s">
        <v>53</v>
      </c>
      <c r="B27" s="103"/>
      <c r="C27" s="10">
        <v>1150</v>
      </c>
      <c r="D27" s="2"/>
      <c r="E27" s="10">
        <v>43200</v>
      </c>
      <c r="F27" s="119"/>
      <c r="G27" s="10">
        <v>960</v>
      </c>
      <c r="H27" s="2"/>
      <c r="I27" s="10">
        <v>50000</v>
      </c>
    </row>
    <row r="28" spans="1:9" ht="11.25" customHeight="1">
      <c r="A28" s="197" t="s">
        <v>55</v>
      </c>
      <c r="B28" s="103"/>
      <c r="C28" s="26" t="s">
        <v>34</v>
      </c>
      <c r="D28" s="2"/>
      <c r="E28" s="26" t="s">
        <v>34</v>
      </c>
      <c r="F28" s="103"/>
      <c r="G28" s="26" t="s">
        <v>34</v>
      </c>
      <c r="H28" s="2"/>
      <c r="I28" s="26" t="s">
        <v>34</v>
      </c>
    </row>
    <row r="29" spans="1:9" ht="11.25" customHeight="1">
      <c r="A29" s="197" t="s">
        <v>56</v>
      </c>
      <c r="B29" s="103"/>
      <c r="C29" s="23" t="s">
        <v>34</v>
      </c>
      <c r="D29" s="3"/>
      <c r="E29" s="23" t="s">
        <v>34</v>
      </c>
      <c r="F29" s="25"/>
      <c r="G29" s="23" t="s">
        <v>34</v>
      </c>
      <c r="H29" s="3"/>
      <c r="I29" s="23" t="s">
        <v>34</v>
      </c>
    </row>
    <row r="30" spans="1:9" ht="11.25" customHeight="1">
      <c r="A30" s="197" t="s">
        <v>57</v>
      </c>
      <c r="B30" s="103"/>
      <c r="C30" s="23" t="s">
        <v>34</v>
      </c>
      <c r="D30" s="2"/>
      <c r="E30" s="23" t="s">
        <v>34</v>
      </c>
      <c r="F30" s="119"/>
      <c r="G30" s="23" t="s">
        <v>34</v>
      </c>
      <c r="H30" s="2"/>
      <c r="I30" s="23" t="s">
        <v>34</v>
      </c>
    </row>
    <row r="31" spans="1:9" ht="11.25" customHeight="1">
      <c r="A31" s="197" t="s">
        <v>58</v>
      </c>
      <c r="B31" s="103"/>
      <c r="C31" s="23" t="s">
        <v>34</v>
      </c>
      <c r="D31" s="3"/>
      <c r="E31" s="23" t="s">
        <v>34</v>
      </c>
      <c r="F31" s="119"/>
      <c r="G31" s="10">
        <v>641</v>
      </c>
      <c r="H31" s="2"/>
      <c r="I31" s="10">
        <v>39900</v>
      </c>
    </row>
    <row r="32" spans="1:9" ht="11.25" customHeight="1">
      <c r="A32" s="197" t="s">
        <v>59</v>
      </c>
      <c r="B32" s="103"/>
      <c r="C32" s="10">
        <v>3770</v>
      </c>
      <c r="D32" s="2"/>
      <c r="E32" s="10">
        <v>158000</v>
      </c>
      <c r="F32" s="119"/>
      <c r="G32" s="10">
        <v>4140</v>
      </c>
      <c r="H32" s="2"/>
      <c r="I32" s="10">
        <v>242000</v>
      </c>
    </row>
    <row r="33" spans="1:16" ht="11.25" customHeight="1">
      <c r="A33" s="197" t="s">
        <v>93</v>
      </c>
      <c r="B33" s="103"/>
      <c r="C33" s="26" t="s">
        <v>34</v>
      </c>
      <c r="D33" s="2"/>
      <c r="E33" s="26" t="s">
        <v>34</v>
      </c>
      <c r="F33" s="119"/>
      <c r="G33" s="26" t="s">
        <v>34</v>
      </c>
      <c r="H33" s="2"/>
      <c r="I33" s="26" t="s">
        <v>34</v>
      </c>
    </row>
    <row r="34" spans="1:16" ht="11.25" customHeight="1">
      <c r="A34" s="197" t="s">
        <v>60</v>
      </c>
      <c r="B34" s="103"/>
      <c r="C34" s="26" t="s">
        <v>34</v>
      </c>
      <c r="D34" s="2"/>
      <c r="E34" s="26" t="s">
        <v>34</v>
      </c>
      <c r="F34" s="103"/>
      <c r="G34" s="26" t="s">
        <v>34</v>
      </c>
      <c r="H34" s="2"/>
      <c r="I34" s="26" t="s">
        <v>34</v>
      </c>
    </row>
    <row r="35" spans="1:16" ht="11.25" customHeight="1">
      <c r="A35" s="197" t="s">
        <v>61</v>
      </c>
      <c r="B35" s="103"/>
      <c r="C35" s="26" t="s">
        <v>34</v>
      </c>
      <c r="D35" s="2"/>
      <c r="E35" s="26" t="s">
        <v>34</v>
      </c>
      <c r="F35" s="128"/>
      <c r="G35" s="26" t="s">
        <v>34</v>
      </c>
      <c r="H35" s="2"/>
      <c r="I35" s="26" t="s">
        <v>34</v>
      </c>
    </row>
    <row r="36" spans="1:16" ht="11.25" customHeight="1">
      <c r="A36" s="197" t="s">
        <v>62</v>
      </c>
      <c r="B36" s="103"/>
      <c r="C36" s="10">
        <v>525</v>
      </c>
      <c r="D36" s="2"/>
      <c r="E36" s="10">
        <v>18400</v>
      </c>
      <c r="F36" s="119"/>
      <c r="G36" s="26" t="s">
        <v>34</v>
      </c>
      <c r="H36" s="2"/>
      <c r="I36" s="26" t="s">
        <v>34</v>
      </c>
    </row>
    <row r="37" spans="1:16" ht="11.25" customHeight="1">
      <c r="A37" s="197" t="s">
        <v>95</v>
      </c>
      <c r="B37" s="103"/>
      <c r="C37" s="18">
        <v>19</v>
      </c>
      <c r="D37" s="2"/>
      <c r="E37" s="18">
        <v>233</v>
      </c>
      <c r="F37" s="103"/>
      <c r="G37" s="26" t="s">
        <v>34</v>
      </c>
      <c r="H37" s="2"/>
      <c r="I37" s="26" t="s">
        <v>34</v>
      </c>
    </row>
    <row r="38" spans="1:16" ht="11.25" customHeight="1">
      <c r="A38" s="197" t="s">
        <v>63</v>
      </c>
      <c r="B38" s="103"/>
      <c r="C38" s="23" t="s">
        <v>34</v>
      </c>
      <c r="D38" s="2"/>
      <c r="E38" s="10">
        <v>46100</v>
      </c>
      <c r="F38" s="119" t="s">
        <v>225</v>
      </c>
      <c r="G38" s="23" t="s">
        <v>34</v>
      </c>
      <c r="H38" s="2"/>
      <c r="I38" s="10">
        <v>65100</v>
      </c>
    </row>
    <row r="39" spans="1:16" ht="11.25" customHeight="1">
      <c r="A39" s="197" t="s">
        <v>64</v>
      </c>
      <c r="B39" s="103"/>
      <c r="C39" s="10">
        <v>39100</v>
      </c>
      <c r="D39" s="25" t="s">
        <v>225</v>
      </c>
      <c r="E39" s="10">
        <v>1350000</v>
      </c>
      <c r="F39" s="119" t="s">
        <v>225</v>
      </c>
      <c r="G39" s="10">
        <v>50000</v>
      </c>
      <c r="H39" s="2"/>
      <c r="I39" s="10">
        <v>1710000</v>
      </c>
    </row>
    <row r="40" spans="1:16" ht="11.25" customHeight="1">
      <c r="A40" s="197" t="s">
        <v>65</v>
      </c>
      <c r="B40" s="103"/>
      <c r="C40" s="18">
        <v>667</v>
      </c>
      <c r="D40" s="10"/>
      <c r="E40" s="18">
        <v>23300</v>
      </c>
      <c r="F40" s="128"/>
      <c r="G40" s="18">
        <v>661</v>
      </c>
      <c r="H40" s="10"/>
      <c r="I40" s="18">
        <v>33600</v>
      </c>
    </row>
    <row r="41" spans="1:16" ht="11.25" customHeight="1">
      <c r="A41" s="197" t="s">
        <v>66</v>
      </c>
      <c r="B41" s="103"/>
      <c r="C41" s="26" t="s">
        <v>34</v>
      </c>
      <c r="D41" s="10"/>
      <c r="E41" s="26" t="s">
        <v>34</v>
      </c>
      <c r="F41" s="128"/>
      <c r="G41" s="26" t="s">
        <v>34</v>
      </c>
      <c r="H41" s="10"/>
      <c r="I41" s="26" t="s">
        <v>34</v>
      </c>
    </row>
    <row r="42" spans="1:16" ht="11.25" customHeight="1">
      <c r="A42" s="197" t="s">
        <v>67</v>
      </c>
      <c r="B42" s="103"/>
      <c r="C42" s="10">
        <v>276</v>
      </c>
      <c r="D42" s="2"/>
      <c r="E42" s="10">
        <v>21300</v>
      </c>
      <c r="F42" s="119"/>
      <c r="G42" s="10">
        <v>481</v>
      </c>
      <c r="H42" s="2"/>
      <c r="I42" s="10">
        <v>30000</v>
      </c>
    </row>
    <row r="43" spans="1:16" ht="11.25" customHeight="1">
      <c r="A43" s="197" t="s">
        <v>68</v>
      </c>
      <c r="B43" s="103"/>
      <c r="C43" s="10">
        <v>13200</v>
      </c>
      <c r="D43" s="25" t="s">
        <v>225</v>
      </c>
      <c r="E43" s="10">
        <v>744000</v>
      </c>
      <c r="F43" s="119" t="s">
        <v>225</v>
      </c>
      <c r="G43" s="10">
        <v>16600</v>
      </c>
      <c r="H43" s="2"/>
      <c r="I43" s="10">
        <v>945000</v>
      </c>
    </row>
    <row r="44" spans="1:16" ht="11.25" customHeight="1">
      <c r="A44" s="198" t="s">
        <v>100</v>
      </c>
      <c r="B44" s="103"/>
      <c r="C44" s="26" t="s">
        <v>47</v>
      </c>
      <c r="D44" s="3"/>
      <c r="E44" s="26" t="s">
        <v>47</v>
      </c>
      <c r="F44" s="119"/>
      <c r="G44" s="23" t="s">
        <v>34</v>
      </c>
      <c r="H44" s="3"/>
      <c r="I44" s="23" t="s">
        <v>34</v>
      </c>
    </row>
    <row r="45" spans="1:16" ht="11.25" customHeight="1">
      <c r="A45" s="198" t="s">
        <v>69</v>
      </c>
      <c r="B45" s="103"/>
      <c r="C45" s="10">
        <v>7010</v>
      </c>
      <c r="D45" s="25" t="s">
        <v>225</v>
      </c>
      <c r="E45" s="10">
        <v>252000</v>
      </c>
      <c r="F45" s="119" t="s">
        <v>225</v>
      </c>
      <c r="G45" s="10">
        <v>12200</v>
      </c>
      <c r="H45" s="2"/>
      <c r="I45" s="10">
        <v>623000</v>
      </c>
      <c r="J45" s="2"/>
      <c r="K45" s="2"/>
      <c r="L45" s="2"/>
      <c r="M45" s="2"/>
      <c r="N45" s="2"/>
      <c r="P45" s="2"/>
    </row>
    <row r="46" spans="1:16" ht="11.25" customHeight="1">
      <c r="A46" s="52" t="s">
        <v>6</v>
      </c>
      <c r="B46" s="138"/>
      <c r="C46" s="61">
        <v>91200</v>
      </c>
      <c r="D46" s="168" t="s">
        <v>225</v>
      </c>
      <c r="E46" s="61">
        <v>3720000</v>
      </c>
      <c r="F46" s="168" t="s">
        <v>225</v>
      </c>
      <c r="G46" s="61">
        <v>114000</v>
      </c>
      <c r="H46" s="61"/>
      <c r="I46" s="61">
        <v>5160000</v>
      </c>
      <c r="J46" s="2"/>
      <c r="K46" s="2"/>
      <c r="L46" s="2"/>
    </row>
    <row r="47" spans="1:16" ht="22.5" customHeight="1">
      <c r="A47" s="286" t="s">
        <v>265</v>
      </c>
      <c r="B47" s="287"/>
      <c r="C47" s="287"/>
      <c r="D47" s="287"/>
      <c r="E47" s="287"/>
      <c r="F47" s="287"/>
      <c r="G47" s="287"/>
      <c r="H47" s="287"/>
      <c r="I47" s="287"/>
    </row>
    <row r="48" spans="1:16" ht="22.5" customHeight="1">
      <c r="A48" s="288" t="s">
        <v>286</v>
      </c>
      <c r="B48" s="279"/>
      <c r="C48" s="279"/>
      <c r="D48" s="279"/>
      <c r="E48" s="279"/>
      <c r="F48" s="279"/>
      <c r="G48" s="279"/>
      <c r="H48" s="279"/>
      <c r="I48" s="279"/>
    </row>
    <row r="49" spans="1:9" ht="11.25" customHeight="1">
      <c r="A49" s="234"/>
      <c r="B49" s="233"/>
      <c r="C49" s="233"/>
      <c r="D49" s="233"/>
      <c r="E49" s="233"/>
      <c r="F49" s="233"/>
      <c r="G49" s="233"/>
      <c r="H49" s="233"/>
      <c r="I49" s="233"/>
    </row>
    <row r="50" spans="1:9" ht="11.25" customHeight="1">
      <c r="C50" s="2"/>
      <c r="E50" s="2"/>
      <c r="G50" s="2"/>
      <c r="I50" s="2"/>
    </row>
    <row r="51" spans="1:9" ht="11.25" customHeight="1">
      <c r="C51" s="2"/>
      <c r="D51" s="2"/>
      <c r="E51" s="2"/>
      <c r="F51" s="2"/>
      <c r="G51" s="2"/>
      <c r="H51" s="2"/>
      <c r="I51" s="2"/>
    </row>
    <row r="52" spans="1:9" ht="11.25" customHeight="1">
      <c r="C52" s="2"/>
      <c r="E52" s="2"/>
    </row>
    <row r="55" spans="1:9" ht="11.25" customHeight="1">
      <c r="C55" s="2"/>
      <c r="E55" s="2"/>
      <c r="G55" s="2"/>
      <c r="I55" s="2"/>
    </row>
  </sheetData>
  <mergeCells count="10">
    <mergeCell ref="C7:E7"/>
    <mergeCell ref="G7:I7"/>
    <mergeCell ref="A47:I47"/>
    <mergeCell ref="A48:I48"/>
    <mergeCell ref="A1:I1"/>
    <mergeCell ref="A2:I2"/>
    <mergeCell ref="A3:I3"/>
    <mergeCell ref="A4:I4"/>
    <mergeCell ref="A5:I5"/>
    <mergeCell ref="A6:I6"/>
  </mergeCells>
  <pageMargins left="0.5" right="0.5" top="0.5" bottom="0.75"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0CB5-0CA9-4DD8-8F0C-6D9D69C98D68}">
  <dimension ref="A1:L24"/>
  <sheetViews>
    <sheetView zoomScaleNormal="100" workbookViewId="0">
      <selection sqref="A1:I1"/>
    </sheetView>
  </sheetViews>
  <sheetFormatPr defaultColWidth="9.33203125" defaultRowHeight="11.25" customHeight="1"/>
  <cols>
    <col min="1" max="1" width="17" style="1" bestFit="1" customWidth="1"/>
    <col min="2" max="2" width="1.6640625" style="1" customWidth="1"/>
    <col min="3" max="3" width="9.33203125" style="1"/>
    <col min="4" max="4" width="1.6640625" style="1" customWidth="1"/>
    <col min="5" max="5" width="7.1640625" style="1" bestFit="1" customWidth="1"/>
    <col min="6" max="6" width="1.6640625" style="1" customWidth="1"/>
    <col min="7" max="7" width="10.6640625" style="1" bestFit="1" customWidth="1"/>
    <col min="8" max="8" width="1.6640625" style="1" customWidth="1"/>
    <col min="9" max="9" width="7.1640625" style="1" bestFit="1" customWidth="1"/>
    <col min="10" max="11" width="9.33203125" style="1"/>
    <col min="12" max="12" width="9.33203125" style="4"/>
    <col min="13" max="16384" width="9.33203125" style="1"/>
  </cols>
  <sheetData>
    <row r="1" spans="1:10" ht="11.25" customHeight="1">
      <c r="A1" s="280" t="s">
        <v>70</v>
      </c>
      <c r="B1" s="280"/>
      <c r="C1" s="280"/>
      <c r="D1" s="280"/>
      <c r="E1" s="280"/>
      <c r="F1" s="280"/>
      <c r="G1" s="280"/>
      <c r="H1" s="280"/>
      <c r="I1" s="280"/>
      <c r="J1" s="53"/>
    </row>
    <row r="2" spans="1:10" ht="11.25" customHeight="1">
      <c r="A2" s="280" t="s">
        <v>71</v>
      </c>
      <c r="B2" s="280"/>
      <c r="C2" s="280"/>
      <c r="D2" s="280"/>
      <c r="E2" s="280"/>
      <c r="F2" s="280"/>
      <c r="G2" s="280"/>
      <c r="H2" s="280"/>
      <c r="I2" s="280"/>
      <c r="J2" s="53"/>
    </row>
    <row r="3" spans="1:10" ht="11.25" customHeight="1">
      <c r="A3" s="280" t="s">
        <v>277</v>
      </c>
      <c r="B3" s="280"/>
      <c r="C3" s="280"/>
      <c r="D3" s="280"/>
      <c r="E3" s="280"/>
      <c r="F3" s="280"/>
      <c r="G3" s="280"/>
      <c r="H3" s="280"/>
      <c r="I3" s="280"/>
      <c r="J3" s="53"/>
    </row>
    <row r="4" spans="1:10" ht="11.25" customHeight="1">
      <c r="A4" s="273"/>
      <c r="B4" s="281"/>
      <c r="C4" s="281"/>
      <c r="D4" s="281"/>
      <c r="E4" s="281"/>
      <c r="F4" s="281"/>
      <c r="G4" s="281"/>
      <c r="H4" s="281"/>
      <c r="I4" s="281"/>
    </row>
    <row r="5" spans="1:10" ht="11.25" customHeight="1">
      <c r="A5" s="199"/>
      <c r="B5" s="199"/>
      <c r="C5" s="199"/>
      <c r="D5" s="200"/>
      <c r="E5" s="199"/>
      <c r="F5" s="200"/>
      <c r="G5" s="47" t="s">
        <v>9</v>
      </c>
      <c r="H5" s="48"/>
      <c r="I5" s="47"/>
    </row>
    <row r="6" spans="1:10" ht="11.25" customHeight="1">
      <c r="A6" s="173" t="s">
        <v>271</v>
      </c>
      <c r="B6" s="46"/>
      <c r="C6" s="173" t="s">
        <v>72</v>
      </c>
      <c r="D6" s="49"/>
      <c r="E6" s="173" t="s">
        <v>199</v>
      </c>
      <c r="F6" s="104"/>
      <c r="G6" s="173" t="s">
        <v>12</v>
      </c>
      <c r="H6" s="49"/>
      <c r="I6" s="173" t="s">
        <v>199</v>
      </c>
    </row>
    <row r="7" spans="1:10" ht="11.25" customHeight="1">
      <c r="A7" s="176" t="s">
        <v>203</v>
      </c>
      <c r="B7" s="75"/>
      <c r="C7" s="176" t="s">
        <v>73</v>
      </c>
      <c r="D7" s="76"/>
      <c r="E7" s="176" t="s">
        <v>14</v>
      </c>
      <c r="F7" s="105"/>
      <c r="G7" s="176" t="s">
        <v>13</v>
      </c>
      <c r="H7" s="76"/>
      <c r="I7" s="176" t="s">
        <v>14</v>
      </c>
    </row>
    <row r="8" spans="1:10" ht="11.25" customHeight="1">
      <c r="A8" s="50" t="s">
        <v>74</v>
      </c>
      <c r="B8" s="44"/>
      <c r="C8" s="51">
        <v>38</v>
      </c>
      <c r="D8" s="45"/>
      <c r="E8" s="58">
        <v>20</v>
      </c>
      <c r="F8" s="45"/>
      <c r="G8" s="51">
        <v>338</v>
      </c>
      <c r="H8" s="45"/>
      <c r="I8" s="56" t="s">
        <v>266</v>
      </c>
    </row>
    <row r="9" spans="1:10" ht="11.25" customHeight="1">
      <c r="A9" s="50" t="s">
        <v>75</v>
      </c>
      <c r="B9" s="53"/>
      <c r="C9" s="106">
        <v>7</v>
      </c>
      <c r="D9" s="103"/>
      <c r="E9" s="58">
        <v>4</v>
      </c>
      <c r="F9" s="103"/>
      <c r="G9" s="106">
        <v>253</v>
      </c>
      <c r="H9" s="103"/>
      <c r="I9" s="24" t="s">
        <v>266</v>
      </c>
    </row>
    <row r="10" spans="1:10" ht="11.25" customHeight="1">
      <c r="A10" s="50" t="s">
        <v>76</v>
      </c>
      <c r="B10" s="53"/>
      <c r="C10" s="106">
        <v>16</v>
      </c>
      <c r="D10" s="103"/>
      <c r="E10" s="58">
        <v>8</v>
      </c>
      <c r="F10" s="103"/>
      <c r="G10" s="106">
        <v>1050</v>
      </c>
      <c r="H10" s="103"/>
      <c r="I10" s="58">
        <v>1</v>
      </c>
    </row>
    <row r="11" spans="1:10" ht="11.25" customHeight="1">
      <c r="A11" s="50" t="s">
        <v>77</v>
      </c>
      <c r="B11" s="53"/>
      <c r="C11" s="106">
        <v>22</v>
      </c>
      <c r="D11" s="103"/>
      <c r="E11" s="58">
        <v>12</v>
      </c>
      <c r="F11" s="103"/>
      <c r="G11" s="106">
        <v>2820</v>
      </c>
      <c r="H11" s="103"/>
      <c r="I11" s="58">
        <v>2</v>
      </c>
    </row>
    <row r="12" spans="1:10" ht="11.25" customHeight="1">
      <c r="A12" s="50" t="s">
        <v>78</v>
      </c>
      <c r="B12" s="53"/>
      <c r="C12" s="106">
        <v>15</v>
      </c>
      <c r="D12" s="103"/>
      <c r="E12" s="58">
        <v>8</v>
      </c>
      <c r="F12" s="103"/>
      <c r="G12" s="106">
        <v>3490</v>
      </c>
      <c r="H12" s="103"/>
      <c r="I12" s="58">
        <v>3</v>
      </c>
    </row>
    <row r="13" spans="1:10" ht="11.25" customHeight="1">
      <c r="A13" s="50" t="s">
        <v>79</v>
      </c>
      <c r="B13" s="53"/>
      <c r="C13" s="106">
        <v>13</v>
      </c>
      <c r="D13" s="103"/>
      <c r="E13" s="58">
        <v>7</v>
      </c>
      <c r="F13" s="103"/>
      <c r="G13" s="106">
        <v>3960</v>
      </c>
      <c r="H13" s="103"/>
      <c r="I13" s="58">
        <v>3</v>
      </c>
    </row>
    <row r="14" spans="1:10" ht="11.25" customHeight="1">
      <c r="A14" s="50" t="s">
        <v>143</v>
      </c>
      <c r="B14" s="53"/>
      <c r="C14" s="106">
        <v>14</v>
      </c>
      <c r="D14" s="103"/>
      <c r="E14" s="58">
        <v>7</v>
      </c>
      <c r="F14" s="103"/>
      <c r="G14" s="106">
        <v>5740</v>
      </c>
      <c r="H14" s="103"/>
      <c r="I14" s="58">
        <v>5</v>
      </c>
    </row>
    <row r="15" spans="1:10" ht="11.25" customHeight="1">
      <c r="A15" s="50" t="s">
        <v>144</v>
      </c>
      <c r="B15" s="53"/>
      <c r="C15" s="106">
        <v>7</v>
      </c>
      <c r="D15" s="103"/>
      <c r="E15" s="58">
        <v>4</v>
      </c>
      <c r="F15" s="103"/>
      <c r="G15" s="201">
        <v>3440</v>
      </c>
      <c r="H15" s="103"/>
      <c r="I15" s="201">
        <v>3</v>
      </c>
    </row>
    <row r="16" spans="1:10" ht="11.25" customHeight="1">
      <c r="A16" s="50" t="s">
        <v>80</v>
      </c>
      <c r="B16" s="53"/>
      <c r="C16" s="106">
        <v>10</v>
      </c>
      <c r="D16" s="103"/>
      <c r="E16" s="58">
        <v>5</v>
      </c>
      <c r="F16" s="103"/>
      <c r="G16" s="115">
        <v>5870</v>
      </c>
      <c r="H16" s="103"/>
      <c r="I16" s="58">
        <v>5</v>
      </c>
    </row>
    <row r="17" spans="1:10" ht="11.25" customHeight="1">
      <c r="A17" s="50" t="s">
        <v>81</v>
      </c>
      <c r="B17" s="53"/>
      <c r="C17" s="106">
        <v>49</v>
      </c>
      <c r="D17" s="103"/>
      <c r="E17" s="58">
        <v>26</v>
      </c>
      <c r="F17" s="103"/>
      <c r="G17" s="201">
        <v>86900</v>
      </c>
      <c r="H17" s="103"/>
      <c r="I17" s="201">
        <v>76</v>
      </c>
    </row>
    <row r="18" spans="1:10" ht="11.25" customHeight="1">
      <c r="A18" s="52" t="s">
        <v>6</v>
      </c>
      <c r="B18" s="77"/>
      <c r="C18" s="202">
        <f>SUM(C8:C17)</f>
        <v>191</v>
      </c>
      <c r="D18" s="202"/>
      <c r="E18" s="202">
        <f>SUM(E8:E17)-1</f>
        <v>100</v>
      </c>
      <c r="F18" s="202"/>
      <c r="G18" s="202">
        <v>114000</v>
      </c>
      <c r="H18" s="202"/>
      <c r="I18" s="202">
        <f>SUM(I9:I17)+2</f>
        <v>100</v>
      </c>
    </row>
    <row r="19" spans="1:10" ht="22.5" customHeight="1">
      <c r="A19" s="265" t="s">
        <v>287</v>
      </c>
      <c r="B19" s="265"/>
      <c r="C19" s="265"/>
      <c r="D19" s="265"/>
      <c r="E19" s="265"/>
      <c r="F19" s="265"/>
      <c r="G19" s="265"/>
      <c r="H19" s="265"/>
      <c r="I19" s="265"/>
      <c r="J19" s="203"/>
    </row>
    <row r="20" spans="1:10" ht="11.25" customHeight="1">
      <c r="A20" s="268" t="s">
        <v>290</v>
      </c>
      <c r="B20" s="269"/>
      <c r="C20" s="269"/>
      <c r="D20" s="269"/>
      <c r="E20" s="269"/>
      <c r="F20" s="269"/>
      <c r="G20" s="269"/>
      <c r="H20" s="269"/>
      <c r="I20" s="269"/>
      <c r="J20" s="203"/>
    </row>
    <row r="21" spans="1:10" ht="11.25" customHeight="1">
      <c r="C21" s="2"/>
      <c r="E21" s="2"/>
      <c r="G21" s="2"/>
      <c r="I21" s="2"/>
    </row>
    <row r="22" spans="1:10" ht="11.25" customHeight="1">
      <c r="I22" s="3"/>
    </row>
    <row r="24" spans="1:10" ht="11.25" customHeight="1">
      <c r="C24" s="2"/>
      <c r="E24" s="2"/>
      <c r="G24" s="2"/>
      <c r="I24" s="2"/>
    </row>
  </sheetData>
  <mergeCells count="6">
    <mergeCell ref="A20:I20"/>
    <mergeCell ref="A1:I1"/>
    <mergeCell ref="A2:I2"/>
    <mergeCell ref="A3:I3"/>
    <mergeCell ref="A4:I4"/>
    <mergeCell ref="A19:I19"/>
  </mergeCells>
  <pageMargins left="0.5" right="0.5" top="0.5" bottom="0.75"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32FE-B09C-4EAC-98B9-06FD7E01934F}">
  <dimension ref="A1:S46"/>
  <sheetViews>
    <sheetView zoomScaleNormal="100" workbookViewId="0">
      <selection sqref="A1:K1"/>
    </sheetView>
  </sheetViews>
  <sheetFormatPr defaultColWidth="9.33203125" defaultRowHeight="11.25" customHeight="1"/>
  <cols>
    <col min="1" max="1" width="21.33203125" style="79" customWidth="1"/>
    <col min="2" max="2" width="1.6640625" style="79" customWidth="1"/>
    <col min="3" max="3" width="9.6640625" style="79" customWidth="1"/>
    <col min="4" max="4" width="1.6640625" style="79" customWidth="1"/>
    <col min="5" max="5" width="11.1640625" style="79" customWidth="1"/>
    <col min="6" max="6" width="1.6640625" style="79" customWidth="1"/>
    <col min="7" max="7" width="9.33203125" style="79" bestFit="1" customWidth="1"/>
    <col min="8" max="8" width="1.6640625" style="79" customWidth="1"/>
    <col min="9" max="9" width="10" style="79" customWidth="1"/>
    <col min="10" max="10" width="1.6640625" style="79" customWidth="1"/>
    <col min="11" max="11" width="10" style="79" customWidth="1"/>
    <col min="12" max="16384" width="9.33203125" style="79"/>
  </cols>
  <sheetData>
    <row r="1" spans="1:11" ht="11.25" customHeight="1">
      <c r="A1" s="291" t="s">
        <v>82</v>
      </c>
      <c r="B1" s="291"/>
      <c r="C1" s="291"/>
      <c r="D1" s="291"/>
      <c r="E1" s="291"/>
      <c r="F1" s="291"/>
      <c r="G1" s="291"/>
      <c r="H1" s="291"/>
      <c r="I1" s="291"/>
      <c r="J1" s="291"/>
      <c r="K1" s="291"/>
    </row>
    <row r="2" spans="1:11" ht="11.25" customHeight="1">
      <c r="A2" s="291" t="s">
        <v>198</v>
      </c>
      <c r="B2" s="291"/>
      <c r="C2" s="291"/>
      <c r="D2" s="291"/>
      <c r="E2" s="291"/>
      <c r="F2" s="291"/>
      <c r="G2" s="291"/>
      <c r="H2" s="291"/>
      <c r="I2" s="291"/>
      <c r="J2" s="291"/>
      <c r="K2" s="291"/>
    </row>
    <row r="3" spans="1:11" ht="11.25" customHeight="1">
      <c r="A3" s="291" t="s">
        <v>278</v>
      </c>
      <c r="B3" s="291"/>
      <c r="C3" s="291"/>
      <c r="D3" s="291"/>
      <c r="E3" s="291"/>
      <c r="F3" s="291"/>
      <c r="G3" s="291"/>
      <c r="H3" s="291"/>
      <c r="I3" s="291"/>
      <c r="J3" s="291"/>
      <c r="K3" s="291"/>
    </row>
    <row r="4" spans="1:11" ht="11.25" customHeight="1">
      <c r="A4" s="292"/>
      <c r="B4" s="281"/>
      <c r="C4" s="281"/>
      <c r="D4" s="281"/>
      <c r="E4" s="281"/>
      <c r="F4" s="281"/>
      <c r="G4" s="281"/>
      <c r="H4" s="281"/>
      <c r="I4" s="281"/>
      <c r="J4" s="281"/>
      <c r="K4" s="281"/>
    </row>
    <row r="5" spans="1:11" ht="11.25" customHeight="1">
      <c r="A5" s="80"/>
      <c r="B5" s="80"/>
      <c r="C5" s="293" t="s">
        <v>142</v>
      </c>
      <c r="D5" s="283"/>
      <c r="E5" s="283"/>
      <c r="F5" s="283"/>
      <c r="G5" s="283"/>
      <c r="H5" s="283"/>
      <c r="I5" s="283"/>
      <c r="J5" s="81"/>
      <c r="K5" s="175" t="s">
        <v>6</v>
      </c>
    </row>
    <row r="6" spans="1:11" ht="11.25" customHeight="1">
      <c r="A6" s="82"/>
      <c r="B6" s="82"/>
      <c r="C6" s="82"/>
      <c r="D6" s="83"/>
      <c r="E6" s="175" t="s">
        <v>85</v>
      </c>
      <c r="F6" s="83"/>
      <c r="G6" s="175" t="s">
        <v>291</v>
      </c>
      <c r="H6" s="83"/>
      <c r="I6" s="175" t="s">
        <v>83</v>
      </c>
      <c r="J6" s="84"/>
      <c r="K6" s="175" t="s">
        <v>84</v>
      </c>
    </row>
    <row r="7" spans="1:11" ht="11.25" customHeight="1">
      <c r="A7" s="85" t="s">
        <v>196</v>
      </c>
      <c r="B7" s="86"/>
      <c r="C7" s="85" t="s">
        <v>85</v>
      </c>
      <c r="D7" s="87"/>
      <c r="E7" s="85" t="s">
        <v>188</v>
      </c>
      <c r="F7" s="87"/>
      <c r="G7" s="85" t="s">
        <v>292</v>
      </c>
      <c r="H7" s="87"/>
      <c r="I7" s="85" t="s">
        <v>73</v>
      </c>
      <c r="J7" s="88"/>
      <c r="K7" s="85" t="s">
        <v>73</v>
      </c>
    </row>
    <row r="8" spans="1:11" ht="11.25" customHeight="1">
      <c r="A8" s="89" t="s">
        <v>15</v>
      </c>
      <c r="B8" s="80"/>
      <c r="C8" s="90"/>
      <c r="D8" s="81"/>
      <c r="E8" s="90"/>
      <c r="F8" s="81"/>
      <c r="G8" s="81"/>
      <c r="H8" s="81"/>
      <c r="I8" s="90"/>
      <c r="J8" s="81"/>
      <c r="K8" s="90"/>
    </row>
    <row r="9" spans="1:11" ht="11.25" customHeight="1">
      <c r="A9" s="91" t="s">
        <v>17</v>
      </c>
      <c r="B9" s="92"/>
      <c r="C9" s="93">
        <v>4</v>
      </c>
      <c r="D9" s="94"/>
      <c r="E9" s="96" t="s">
        <v>47</v>
      </c>
      <c r="F9" s="94"/>
      <c r="G9" s="204">
        <v>1</v>
      </c>
      <c r="H9" s="94"/>
      <c r="I9" s="95">
        <v>3</v>
      </c>
      <c r="J9" s="94"/>
      <c r="K9" s="93">
        <f>SUM(C9:I9)</f>
        <v>8</v>
      </c>
    </row>
    <row r="10" spans="1:11" ht="11.25" customHeight="1">
      <c r="A10" s="91" t="s">
        <v>16</v>
      </c>
      <c r="B10" s="92"/>
      <c r="C10" s="93">
        <v>1</v>
      </c>
      <c r="D10" s="94"/>
      <c r="E10" s="96" t="s">
        <v>47</v>
      </c>
      <c r="F10" s="94"/>
      <c r="G10" s="96" t="s">
        <v>47</v>
      </c>
      <c r="H10" s="94"/>
      <c r="I10" s="96" t="s">
        <v>47</v>
      </c>
      <c r="J10" s="94"/>
      <c r="K10" s="93">
        <f>SUM(C10:I10)</f>
        <v>1</v>
      </c>
    </row>
    <row r="11" spans="1:11" ht="11.25" customHeight="1">
      <c r="A11" s="89" t="s">
        <v>18</v>
      </c>
      <c r="B11" s="92"/>
      <c r="C11" s="93"/>
      <c r="D11" s="94"/>
      <c r="E11" s="93"/>
      <c r="F11" s="94"/>
      <c r="G11" s="94"/>
      <c r="H11" s="94"/>
      <c r="I11" s="93"/>
      <c r="J11" s="94"/>
      <c r="K11" s="93"/>
    </row>
    <row r="12" spans="1:11" ht="11.25" customHeight="1">
      <c r="A12" s="91" t="s">
        <v>19</v>
      </c>
      <c r="B12" s="92"/>
      <c r="C12" s="93">
        <v>39</v>
      </c>
      <c r="D12" s="94"/>
      <c r="E12" s="95">
        <v>2</v>
      </c>
      <c r="F12" s="94"/>
      <c r="G12" s="205" t="s">
        <v>47</v>
      </c>
      <c r="H12" s="94"/>
      <c r="I12" s="93">
        <v>4</v>
      </c>
      <c r="J12" s="94"/>
      <c r="K12" s="93">
        <f>SUM(C12:I12)</f>
        <v>45</v>
      </c>
    </row>
    <row r="13" spans="1:11" ht="11.25" customHeight="1">
      <c r="A13" s="91" t="s">
        <v>20</v>
      </c>
      <c r="B13" s="92"/>
      <c r="C13" s="93">
        <v>6</v>
      </c>
      <c r="D13" s="94"/>
      <c r="E13" s="93">
        <v>4</v>
      </c>
      <c r="F13" s="94"/>
      <c r="G13" s="204">
        <v>1</v>
      </c>
      <c r="H13" s="94"/>
      <c r="I13" s="95">
        <v>4</v>
      </c>
      <c r="J13" s="94"/>
      <c r="K13" s="93">
        <f>SUM(C13:I13)</f>
        <v>15</v>
      </c>
    </row>
    <row r="14" spans="1:11" ht="11.25" customHeight="1">
      <c r="A14" s="89" t="s">
        <v>21</v>
      </c>
      <c r="B14" s="92"/>
      <c r="C14" s="93"/>
      <c r="D14" s="94"/>
      <c r="E14" s="93"/>
      <c r="F14" s="94"/>
      <c r="G14" s="206"/>
      <c r="H14" s="94"/>
      <c r="I14" s="93"/>
      <c r="J14" s="94"/>
      <c r="K14" s="93"/>
    </row>
    <row r="15" spans="1:11" ht="11.25" customHeight="1">
      <c r="A15" s="91" t="s">
        <v>23</v>
      </c>
      <c r="B15" s="92"/>
      <c r="C15" s="93">
        <v>7</v>
      </c>
      <c r="D15" s="94"/>
      <c r="E15" s="96" t="s">
        <v>47</v>
      </c>
      <c r="F15" s="94"/>
      <c r="G15" s="205" t="s">
        <v>47</v>
      </c>
      <c r="H15" s="94"/>
      <c r="I15" s="93">
        <v>6</v>
      </c>
      <c r="J15" s="94"/>
      <c r="K15" s="93">
        <f>SUM(C15:I15)</f>
        <v>13</v>
      </c>
    </row>
    <row r="16" spans="1:11" ht="11.25" customHeight="1">
      <c r="A16" s="91" t="s">
        <v>22</v>
      </c>
      <c r="B16" s="92"/>
      <c r="C16" s="93">
        <v>17</v>
      </c>
      <c r="D16" s="94"/>
      <c r="E16" s="93">
        <v>3</v>
      </c>
      <c r="F16" s="94"/>
      <c r="G16" s="205" t="s">
        <v>47</v>
      </c>
      <c r="H16" s="94"/>
      <c r="I16" s="93">
        <v>4</v>
      </c>
      <c r="J16" s="94"/>
      <c r="K16" s="93">
        <f>SUM(C16:I16)</f>
        <v>24</v>
      </c>
    </row>
    <row r="17" spans="1:19" ht="11.25" customHeight="1">
      <c r="A17" s="91" t="s">
        <v>24</v>
      </c>
      <c r="B17" s="92"/>
      <c r="C17" s="93">
        <v>57</v>
      </c>
      <c r="D17" s="94"/>
      <c r="E17" s="95">
        <v>2</v>
      </c>
      <c r="F17" s="94"/>
      <c r="G17" s="205" t="s">
        <v>47</v>
      </c>
      <c r="H17" s="94"/>
      <c r="I17" s="93">
        <v>10</v>
      </c>
      <c r="J17" s="94"/>
      <c r="K17" s="93">
        <f t="shared" ref="K17:K20" si="0">SUM(C17:I17)</f>
        <v>69</v>
      </c>
    </row>
    <row r="18" spans="1:19" ht="11.25" customHeight="1">
      <c r="A18" s="89" t="s">
        <v>25</v>
      </c>
      <c r="B18" s="92"/>
      <c r="C18" s="93"/>
      <c r="D18" s="94"/>
      <c r="E18" s="93"/>
      <c r="F18" s="94"/>
      <c r="G18" s="206"/>
      <c r="H18" s="94"/>
      <c r="I18" s="93"/>
      <c r="J18" s="94"/>
      <c r="K18" s="93"/>
    </row>
    <row r="19" spans="1:19" ht="11.25" customHeight="1">
      <c r="A19" s="91" t="s">
        <v>26</v>
      </c>
      <c r="B19" s="92"/>
      <c r="C19" s="93">
        <v>4</v>
      </c>
      <c r="D19" s="94"/>
      <c r="E19" s="96" t="s">
        <v>47</v>
      </c>
      <c r="F19" s="94"/>
      <c r="G19" s="205" t="s">
        <v>47</v>
      </c>
      <c r="H19" s="94"/>
      <c r="I19" s="96" t="s">
        <v>47</v>
      </c>
      <c r="J19" s="94"/>
      <c r="K19" s="93">
        <f t="shared" si="0"/>
        <v>4</v>
      </c>
    </row>
    <row r="20" spans="1:19" ht="11.25" customHeight="1">
      <c r="A20" s="91" t="s">
        <v>27</v>
      </c>
      <c r="B20" s="92"/>
      <c r="C20" s="97">
        <v>12</v>
      </c>
      <c r="D20" s="98"/>
      <c r="E20" s="96" t="s">
        <v>47</v>
      </c>
      <c r="F20" s="98"/>
      <c r="G20" s="205" t="s">
        <v>47</v>
      </c>
      <c r="H20" s="94"/>
      <c r="I20" s="96" t="s">
        <v>47</v>
      </c>
      <c r="J20" s="98"/>
      <c r="K20" s="93">
        <f t="shared" si="0"/>
        <v>12</v>
      </c>
    </row>
    <row r="21" spans="1:19" ht="11.25" customHeight="1">
      <c r="A21" s="99" t="s">
        <v>6</v>
      </c>
      <c r="B21" s="100"/>
      <c r="C21" s="101">
        <f>SUM(C9:C20)</f>
        <v>147</v>
      </c>
      <c r="D21" s="101"/>
      <c r="E21" s="102">
        <f>SUM(E9:E20)</f>
        <v>11</v>
      </c>
      <c r="F21" s="101"/>
      <c r="G21" s="101">
        <f>SUM(G9:G20)</f>
        <v>2</v>
      </c>
      <c r="H21" s="101"/>
      <c r="I21" s="101">
        <f>SUM(I9:I20)</f>
        <v>31</v>
      </c>
      <c r="J21" s="101"/>
      <c r="K21" s="101">
        <f>SUM(K9:K20)</f>
        <v>191</v>
      </c>
    </row>
    <row r="22" spans="1:19" ht="11.25" customHeight="1">
      <c r="A22" s="294" t="s">
        <v>86</v>
      </c>
      <c r="B22" s="294"/>
      <c r="C22" s="294"/>
      <c r="D22" s="294"/>
      <c r="E22" s="294"/>
      <c r="F22" s="294"/>
      <c r="G22" s="294"/>
      <c r="H22" s="294"/>
      <c r="I22" s="294"/>
      <c r="J22" s="294"/>
      <c r="K22" s="294"/>
    </row>
    <row r="23" spans="1:19" ht="11.25" customHeight="1">
      <c r="A23" s="289" t="s">
        <v>288</v>
      </c>
      <c r="B23" s="290"/>
      <c r="C23" s="290"/>
      <c r="D23" s="290"/>
      <c r="E23" s="290"/>
      <c r="F23" s="290"/>
      <c r="G23" s="290"/>
      <c r="H23" s="290"/>
      <c r="I23" s="290"/>
      <c r="J23" s="290"/>
      <c r="K23" s="290"/>
    </row>
    <row r="24" spans="1:19" ht="56.25" customHeight="1">
      <c r="A24" s="278" t="s">
        <v>272</v>
      </c>
      <c r="B24" s="266"/>
      <c r="C24" s="266"/>
      <c r="D24" s="266"/>
      <c r="E24" s="266"/>
      <c r="F24" s="266"/>
      <c r="G24" s="266"/>
      <c r="H24" s="266"/>
      <c r="I24" s="266"/>
      <c r="J24" s="266"/>
      <c r="K24" s="266"/>
      <c r="L24" s="174"/>
      <c r="M24" s="174"/>
      <c r="N24" s="174"/>
      <c r="O24" s="174"/>
      <c r="P24" s="174"/>
      <c r="Q24" s="174"/>
      <c r="R24" s="174"/>
      <c r="S24" s="174"/>
    </row>
    <row r="25" spans="1:19" ht="11.25" customHeight="1">
      <c r="A25" s="270"/>
      <c r="B25" s="270"/>
      <c r="C25" s="270"/>
      <c r="D25" s="270"/>
      <c r="E25" s="270"/>
      <c r="F25" s="270"/>
      <c r="G25" s="270"/>
      <c r="H25" s="270"/>
      <c r="I25" s="270"/>
      <c r="J25" s="270"/>
      <c r="K25" s="270"/>
      <c r="L25"/>
    </row>
    <row r="26" spans="1:19" ht="11.25" customHeight="1">
      <c r="A26"/>
      <c r="B26"/>
      <c r="C26"/>
      <c r="D26"/>
      <c r="E26"/>
      <c r="F26"/>
      <c r="G26"/>
      <c r="H26"/>
      <c r="I26"/>
      <c r="J26"/>
      <c r="K26"/>
      <c r="L26"/>
    </row>
    <row r="27" spans="1:19" ht="11.25" customHeight="1">
      <c r="A27"/>
      <c r="B27"/>
      <c r="C27"/>
      <c r="D27"/>
      <c r="E27"/>
      <c r="F27"/>
      <c r="G27"/>
      <c r="H27"/>
      <c r="I27"/>
      <c r="J27"/>
      <c r="K27"/>
      <c r="L27"/>
    </row>
    <row r="28" spans="1:19" ht="11.25" customHeight="1">
      <c r="A28"/>
      <c r="B28"/>
      <c r="C28"/>
      <c r="D28"/>
      <c r="E28"/>
      <c r="F28"/>
      <c r="G28"/>
      <c r="H28"/>
      <c r="I28"/>
      <c r="J28"/>
      <c r="K28"/>
      <c r="L28"/>
    </row>
    <row r="29" spans="1:19" ht="11.25" customHeight="1">
      <c r="A29"/>
      <c r="B29"/>
      <c r="C29"/>
      <c r="D29"/>
      <c r="E29"/>
      <c r="F29"/>
      <c r="G29"/>
      <c r="H29"/>
      <c r="I29"/>
      <c r="J29"/>
      <c r="K29"/>
      <c r="L29"/>
    </row>
    <row r="30" spans="1:19" ht="11.25" customHeight="1">
      <c r="A30"/>
      <c r="B30"/>
      <c r="C30"/>
      <c r="D30"/>
      <c r="E30"/>
      <c r="F30"/>
      <c r="G30"/>
      <c r="H30"/>
      <c r="I30"/>
      <c r="J30"/>
      <c r="K30"/>
      <c r="L30"/>
    </row>
    <row r="31" spans="1:19" ht="11.25" customHeight="1">
      <c r="A31"/>
      <c r="B31"/>
      <c r="C31"/>
      <c r="D31"/>
      <c r="E31"/>
      <c r="F31"/>
      <c r="G31"/>
      <c r="H31"/>
      <c r="I31"/>
      <c r="J31"/>
      <c r="K31"/>
      <c r="L31"/>
    </row>
    <row r="32" spans="1:19" ht="11.25" customHeight="1">
      <c r="A32"/>
      <c r="B32"/>
      <c r="C32"/>
      <c r="D32"/>
      <c r="E32"/>
      <c r="F32"/>
      <c r="G32"/>
      <c r="H32"/>
      <c r="I32"/>
      <c r="J32"/>
      <c r="K32"/>
      <c r="L32"/>
    </row>
    <row r="33" spans="1:12" ht="11.25" customHeight="1">
      <c r="A33"/>
      <c r="B33"/>
      <c r="C33"/>
      <c r="D33"/>
      <c r="E33"/>
      <c r="F33"/>
      <c r="G33"/>
      <c r="H33"/>
      <c r="I33"/>
      <c r="J33"/>
      <c r="K33"/>
      <c r="L33"/>
    </row>
    <row r="34" spans="1:12" ht="11.25" customHeight="1">
      <c r="A34"/>
      <c r="B34"/>
      <c r="C34"/>
      <c r="D34"/>
      <c r="E34"/>
      <c r="F34"/>
      <c r="G34"/>
      <c r="H34"/>
      <c r="I34"/>
      <c r="J34"/>
      <c r="K34"/>
      <c r="L34"/>
    </row>
    <row r="35" spans="1:12" ht="11.25" customHeight="1">
      <c r="A35"/>
      <c r="B35"/>
      <c r="C35"/>
      <c r="D35"/>
      <c r="E35"/>
      <c r="F35"/>
      <c r="G35"/>
      <c r="H35"/>
      <c r="I35"/>
      <c r="J35"/>
      <c r="K35"/>
      <c r="L35"/>
    </row>
    <row r="36" spans="1:12" ht="11.25" customHeight="1">
      <c r="A36"/>
      <c r="B36"/>
      <c r="C36"/>
      <c r="D36"/>
      <c r="E36"/>
      <c r="F36"/>
      <c r="G36"/>
      <c r="H36"/>
      <c r="I36"/>
      <c r="J36"/>
      <c r="K36"/>
      <c r="L36"/>
    </row>
    <row r="37" spans="1:12" ht="11.25" customHeight="1">
      <c r="A37"/>
      <c r="B37"/>
      <c r="C37"/>
      <c r="D37"/>
      <c r="E37"/>
      <c r="F37"/>
      <c r="G37"/>
      <c r="H37"/>
      <c r="I37"/>
      <c r="J37"/>
      <c r="K37"/>
      <c r="L37"/>
    </row>
    <row r="38" spans="1:12" ht="11.25" customHeight="1">
      <c r="A38"/>
      <c r="B38"/>
      <c r="C38"/>
      <c r="D38"/>
      <c r="E38"/>
      <c r="F38"/>
      <c r="G38"/>
      <c r="H38"/>
      <c r="I38"/>
      <c r="J38"/>
      <c r="K38"/>
      <c r="L38"/>
    </row>
    <row r="39" spans="1:12" ht="11.25" customHeight="1">
      <c r="A39"/>
      <c r="B39"/>
      <c r="C39"/>
      <c r="D39"/>
      <c r="E39"/>
      <c r="F39"/>
      <c r="G39"/>
      <c r="H39"/>
      <c r="I39"/>
      <c r="J39"/>
      <c r="K39"/>
      <c r="L39"/>
    </row>
    <row r="40" spans="1:12" ht="11.25" customHeight="1">
      <c r="A40"/>
      <c r="B40"/>
      <c r="C40"/>
      <c r="D40"/>
      <c r="E40"/>
      <c r="F40"/>
      <c r="G40"/>
      <c r="H40"/>
      <c r="I40"/>
      <c r="J40"/>
      <c r="K40"/>
      <c r="L40"/>
    </row>
    <row r="41" spans="1:12" ht="11.25" customHeight="1">
      <c r="A41"/>
      <c r="B41"/>
      <c r="C41"/>
      <c r="D41"/>
      <c r="E41"/>
      <c r="F41"/>
      <c r="G41"/>
      <c r="H41"/>
      <c r="I41"/>
      <c r="J41"/>
      <c r="K41"/>
      <c r="L41"/>
    </row>
    <row r="42" spans="1:12" ht="11.25" customHeight="1">
      <c r="A42"/>
      <c r="B42"/>
      <c r="C42"/>
      <c r="D42"/>
      <c r="E42"/>
      <c r="F42"/>
      <c r="G42"/>
      <c r="H42"/>
      <c r="I42"/>
      <c r="J42"/>
      <c r="K42"/>
      <c r="L42"/>
    </row>
    <row r="43" spans="1:12" ht="11.25" customHeight="1">
      <c r="A43"/>
      <c r="B43"/>
      <c r="C43"/>
      <c r="D43"/>
      <c r="E43"/>
      <c r="F43"/>
      <c r="G43"/>
      <c r="H43"/>
      <c r="I43"/>
      <c r="J43"/>
      <c r="K43"/>
      <c r="L43"/>
    </row>
    <row r="44" spans="1:12" ht="11.25" customHeight="1">
      <c r="A44"/>
      <c r="B44"/>
      <c r="C44"/>
      <c r="D44"/>
      <c r="E44"/>
      <c r="F44"/>
      <c r="G44"/>
      <c r="H44"/>
      <c r="I44"/>
      <c r="J44"/>
      <c r="K44"/>
      <c r="L44"/>
    </row>
    <row r="45" spans="1:12" ht="11.25" customHeight="1">
      <c r="A45"/>
      <c r="B45"/>
      <c r="C45"/>
      <c r="D45"/>
      <c r="E45"/>
      <c r="F45"/>
      <c r="G45"/>
      <c r="H45"/>
      <c r="I45"/>
      <c r="J45"/>
      <c r="K45"/>
      <c r="L45"/>
    </row>
    <row r="46" spans="1:12" ht="11.25" customHeight="1">
      <c r="A46"/>
      <c r="B46"/>
      <c r="C46"/>
      <c r="D46"/>
      <c r="E46"/>
      <c r="F46"/>
      <c r="G46"/>
      <c r="H46"/>
      <c r="I46"/>
      <c r="J46"/>
      <c r="K46"/>
      <c r="L46"/>
    </row>
  </sheetData>
  <mergeCells count="9">
    <mergeCell ref="A23:K23"/>
    <mergeCell ref="A24:K24"/>
    <mergeCell ref="A25:K25"/>
    <mergeCell ref="A1:K1"/>
    <mergeCell ref="A2:K2"/>
    <mergeCell ref="A3:K3"/>
    <mergeCell ref="A4:K4"/>
    <mergeCell ref="C5:I5"/>
    <mergeCell ref="A22:K22"/>
  </mergeCells>
  <pageMargins left="0.5" right="0.5" top="0.5" bottom="0.75"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5BF1-FD33-445E-A891-6BFD6CC192BB}">
  <dimension ref="A1:AF53"/>
  <sheetViews>
    <sheetView zoomScaleNormal="100" workbookViewId="0">
      <selection sqref="A1:AF1"/>
    </sheetView>
  </sheetViews>
  <sheetFormatPr defaultColWidth="9.33203125" defaultRowHeight="11.25" customHeight="1"/>
  <cols>
    <col min="1" max="1" width="33.33203125" style="1" customWidth="1"/>
    <col min="2" max="2" width="1" style="1" customWidth="1"/>
    <col min="3" max="3" width="7.33203125" style="1" bestFit="1" customWidth="1"/>
    <col min="4" max="4" width="1.6640625" style="1" customWidth="1"/>
    <col min="5" max="5" width="7.6640625" style="1" customWidth="1"/>
    <col min="6" max="6" width="1.6640625" style="1" customWidth="1"/>
    <col min="7" max="7" width="7.33203125" style="1" customWidth="1"/>
    <col min="8" max="8" width="1.6640625" style="1" customWidth="1"/>
    <col min="9" max="9" width="8" style="1" customWidth="1"/>
    <col min="10" max="10" width="1.6640625" style="1" customWidth="1"/>
    <col min="11" max="11" width="9.6640625" style="1" bestFit="1" customWidth="1"/>
    <col min="12" max="12" width="1.6640625" style="1" customWidth="1"/>
    <col min="13" max="13" width="7.5" style="1" bestFit="1" customWidth="1"/>
    <col min="14" max="14" width="1.6640625" style="1" customWidth="1"/>
    <col min="15" max="15" width="8.6640625" style="1" bestFit="1" customWidth="1"/>
    <col min="16" max="16" width="1.6640625" style="1" customWidth="1"/>
    <col min="17" max="17" width="9.6640625" style="1" bestFit="1" customWidth="1"/>
    <col min="18" max="18" width="1.6640625" style="1" customWidth="1"/>
    <col min="19" max="19" width="6.6640625" style="1" customWidth="1"/>
    <col min="20" max="20" width="1.6640625" style="1" customWidth="1"/>
    <col min="21" max="21" width="7.33203125" style="1" bestFit="1" customWidth="1"/>
    <col min="22" max="22" width="1.6640625" style="1" customWidth="1"/>
    <col min="23" max="23" width="7.5" style="1" customWidth="1"/>
    <col min="24" max="24" width="1.6640625" style="1" customWidth="1"/>
    <col min="25" max="25" width="6.33203125" style="1" customWidth="1"/>
    <col min="26" max="26" width="1.6640625" style="1" customWidth="1"/>
    <col min="27" max="27" width="8.6640625" style="1" bestFit="1" customWidth="1"/>
    <col min="28" max="28" width="1.6640625" style="1" customWidth="1"/>
    <col min="29" max="29" width="9.6640625" style="1" bestFit="1" customWidth="1"/>
    <col min="30" max="30" width="1.6640625" style="1" customWidth="1"/>
    <col min="31" max="31" width="7.5" style="1" bestFit="1" customWidth="1"/>
    <col min="32" max="32" width="1.6640625" style="1" customWidth="1"/>
    <col min="33" max="16384" width="9.33203125" style="1"/>
  </cols>
  <sheetData>
    <row r="1" spans="1:32" ht="11.25" customHeight="1">
      <c r="A1" s="296" t="s">
        <v>273</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67"/>
    </row>
    <row r="2" spans="1:32" ht="11.25" customHeight="1">
      <c r="A2" s="296" t="s">
        <v>242</v>
      </c>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c r="AF2" s="267"/>
    </row>
    <row r="3" spans="1:32" ht="11.25" customHeight="1">
      <c r="A3" s="297"/>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74"/>
    </row>
    <row r="4" spans="1:32" ht="11.25" customHeight="1">
      <c r="A4" s="53"/>
      <c r="B4" s="53"/>
      <c r="C4" s="298" t="s">
        <v>238</v>
      </c>
      <c r="D4" s="298"/>
      <c r="E4" s="298"/>
      <c r="F4" s="298"/>
      <c r="G4" s="298"/>
      <c r="H4" s="103"/>
      <c r="I4" s="298" t="s">
        <v>235</v>
      </c>
      <c r="J4" s="298"/>
      <c r="K4" s="298"/>
      <c r="L4" s="298"/>
      <c r="M4" s="298"/>
      <c r="N4" s="103"/>
      <c r="O4" s="298" t="s">
        <v>236</v>
      </c>
      <c r="P4" s="298"/>
      <c r="Q4" s="298"/>
      <c r="R4" s="298"/>
      <c r="S4" s="298"/>
      <c r="T4" s="53"/>
      <c r="U4" s="273" t="s">
        <v>237</v>
      </c>
      <c r="V4" s="299"/>
      <c r="W4" s="299"/>
      <c r="X4" s="299"/>
      <c r="Y4" s="299"/>
      <c r="Z4" s="103"/>
      <c r="AA4" s="273" t="s">
        <v>178</v>
      </c>
      <c r="AB4" s="281"/>
      <c r="AC4" s="281"/>
      <c r="AD4" s="281"/>
      <c r="AE4" s="281"/>
      <c r="AF4" s="40"/>
    </row>
    <row r="5" spans="1:32" ht="11.25" customHeight="1">
      <c r="A5" s="53"/>
      <c r="B5" s="53"/>
      <c r="C5" s="47"/>
      <c r="D5" s="47"/>
      <c r="E5" s="47"/>
      <c r="F5" s="47"/>
      <c r="G5" s="238" t="s">
        <v>145</v>
      </c>
      <c r="H5" s="103"/>
      <c r="I5" s="47"/>
      <c r="J5" s="47"/>
      <c r="K5" s="47"/>
      <c r="L5" s="47"/>
      <c r="M5" s="238" t="s">
        <v>145</v>
      </c>
      <c r="N5" s="103"/>
      <c r="O5" s="47"/>
      <c r="P5" s="47"/>
      <c r="Q5" s="47"/>
      <c r="R5" s="47"/>
      <c r="S5" s="238" t="s">
        <v>145</v>
      </c>
      <c r="T5" s="53"/>
      <c r="U5" s="47"/>
      <c r="V5" s="47"/>
      <c r="W5" s="47"/>
      <c r="X5" s="47"/>
      <c r="Y5" s="238" t="s">
        <v>145</v>
      </c>
      <c r="Z5" s="103"/>
      <c r="AA5" s="47"/>
      <c r="AB5" s="47"/>
      <c r="AC5" s="47"/>
      <c r="AD5" s="47"/>
      <c r="AE5" s="238" t="s">
        <v>145</v>
      </c>
    </row>
    <row r="6" spans="1:32" ht="11.25" customHeight="1">
      <c r="A6" s="46"/>
      <c r="B6" s="46"/>
      <c r="C6" s="238" t="s">
        <v>9</v>
      </c>
      <c r="D6" s="49"/>
      <c r="E6" s="238"/>
      <c r="F6" s="49"/>
      <c r="G6" s="238" t="s">
        <v>186</v>
      </c>
      <c r="H6" s="104"/>
      <c r="I6" s="238" t="s">
        <v>9</v>
      </c>
      <c r="J6" s="49"/>
      <c r="K6" s="238"/>
      <c r="L6" s="49"/>
      <c r="M6" s="238" t="s">
        <v>186</v>
      </c>
      <c r="N6" s="104"/>
      <c r="O6" s="238" t="s">
        <v>9</v>
      </c>
      <c r="P6" s="49"/>
      <c r="Q6" s="238"/>
      <c r="R6" s="49"/>
      <c r="S6" s="238" t="s">
        <v>186</v>
      </c>
      <c r="T6" s="46"/>
      <c r="U6" s="238" t="s">
        <v>9</v>
      </c>
      <c r="V6" s="49"/>
      <c r="W6" s="238"/>
      <c r="X6" s="49"/>
      <c r="Y6" s="238" t="s">
        <v>186</v>
      </c>
      <c r="Z6" s="104"/>
      <c r="AA6" s="238" t="s">
        <v>9</v>
      </c>
      <c r="AB6" s="49"/>
      <c r="AC6" s="238"/>
      <c r="AD6" s="49"/>
      <c r="AE6" s="238" t="s">
        <v>186</v>
      </c>
    </row>
    <row r="7" spans="1:32" ht="11.25" customHeight="1">
      <c r="A7" s="46"/>
      <c r="B7" s="46"/>
      <c r="C7" s="238" t="s">
        <v>12</v>
      </c>
      <c r="D7" s="49"/>
      <c r="E7" s="238" t="s">
        <v>10</v>
      </c>
      <c r="F7" s="49"/>
      <c r="G7" s="238" t="s">
        <v>146</v>
      </c>
      <c r="H7" s="104"/>
      <c r="I7" s="238" t="s">
        <v>12</v>
      </c>
      <c r="J7" s="49"/>
      <c r="K7" s="238" t="s">
        <v>10</v>
      </c>
      <c r="L7" s="49"/>
      <c r="M7" s="238" t="s">
        <v>146</v>
      </c>
      <c r="N7" s="104"/>
      <c r="O7" s="238" t="s">
        <v>12</v>
      </c>
      <c r="P7" s="49"/>
      <c r="Q7" s="238" t="s">
        <v>10</v>
      </c>
      <c r="R7" s="49"/>
      <c r="S7" s="238" t="s">
        <v>146</v>
      </c>
      <c r="T7" s="46"/>
      <c r="U7" s="238" t="s">
        <v>12</v>
      </c>
      <c r="V7" s="49"/>
      <c r="W7" s="238" t="s">
        <v>10</v>
      </c>
      <c r="X7" s="49"/>
      <c r="Y7" s="238" t="s">
        <v>146</v>
      </c>
      <c r="Z7" s="104"/>
      <c r="AA7" s="238" t="s">
        <v>12</v>
      </c>
      <c r="AB7" s="49"/>
      <c r="AC7" s="238" t="s">
        <v>10</v>
      </c>
      <c r="AD7" s="49"/>
      <c r="AE7" s="238" t="s">
        <v>146</v>
      </c>
    </row>
    <row r="8" spans="1:32" ht="11.25" customHeight="1">
      <c r="A8" s="46"/>
      <c r="B8" s="46"/>
      <c r="C8" s="238" t="s">
        <v>190</v>
      </c>
      <c r="D8" s="49"/>
      <c r="E8" s="238" t="s">
        <v>195</v>
      </c>
      <c r="F8" s="49"/>
      <c r="G8" s="238" t="s">
        <v>192</v>
      </c>
      <c r="H8" s="104"/>
      <c r="I8" s="238" t="s">
        <v>190</v>
      </c>
      <c r="J8" s="49"/>
      <c r="K8" s="238" t="s">
        <v>195</v>
      </c>
      <c r="L8" s="49"/>
      <c r="M8" s="238" t="s">
        <v>192</v>
      </c>
      <c r="N8" s="104"/>
      <c r="O8" s="238" t="s">
        <v>190</v>
      </c>
      <c r="P8" s="49"/>
      <c r="Q8" s="238" t="s">
        <v>195</v>
      </c>
      <c r="R8" s="49"/>
      <c r="S8" s="238" t="s">
        <v>192</v>
      </c>
      <c r="T8" s="46"/>
      <c r="U8" s="238" t="s">
        <v>190</v>
      </c>
      <c r="V8" s="49"/>
      <c r="W8" s="238" t="s">
        <v>195</v>
      </c>
      <c r="X8" s="49"/>
      <c r="Y8" s="238" t="s">
        <v>192</v>
      </c>
      <c r="Z8" s="104"/>
      <c r="AA8" s="238" t="s">
        <v>190</v>
      </c>
      <c r="AB8" s="49"/>
      <c r="AC8" s="238" t="s">
        <v>195</v>
      </c>
      <c r="AD8" s="49"/>
      <c r="AE8" s="238" t="s">
        <v>192</v>
      </c>
    </row>
    <row r="9" spans="1:32" ht="11.25" customHeight="1">
      <c r="A9" s="239" t="s">
        <v>147</v>
      </c>
      <c r="B9" s="75"/>
      <c r="C9" s="239" t="s">
        <v>191</v>
      </c>
      <c r="D9" s="76"/>
      <c r="E9" s="239" t="s">
        <v>194</v>
      </c>
      <c r="F9" s="76"/>
      <c r="G9" s="239" t="s">
        <v>193</v>
      </c>
      <c r="H9" s="105"/>
      <c r="I9" s="239" t="s">
        <v>191</v>
      </c>
      <c r="J9" s="76"/>
      <c r="K9" s="239" t="s">
        <v>194</v>
      </c>
      <c r="L9" s="76"/>
      <c r="M9" s="239" t="s">
        <v>193</v>
      </c>
      <c r="N9" s="105"/>
      <c r="O9" s="239" t="s">
        <v>191</v>
      </c>
      <c r="P9" s="76"/>
      <c r="Q9" s="239" t="s">
        <v>194</v>
      </c>
      <c r="R9" s="76"/>
      <c r="S9" s="239" t="s">
        <v>193</v>
      </c>
      <c r="T9" s="75"/>
      <c r="U9" s="239" t="s">
        <v>191</v>
      </c>
      <c r="V9" s="76"/>
      <c r="W9" s="239" t="s">
        <v>194</v>
      </c>
      <c r="X9" s="76"/>
      <c r="Y9" s="239" t="s">
        <v>193</v>
      </c>
      <c r="Z9" s="105"/>
      <c r="AA9" s="239" t="s">
        <v>191</v>
      </c>
      <c r="AB9" s="76"/>
      <c r="AC9" s="239" t="s">
        <v>194</v>
      </c>
      <c r="AD9" s="76"/>
      <c r="AE9" s="239" t="s">
        <v>193</v>
      </c>
      <c r="AF9" s="169"/>
    </row>
    <row r="10" spans="1:32" ht="11.25" customHeight="1">
      <c r="A10" s="50" t="s">
        <v>148</v>
      </c>
      <c r="B10" s="44"/>
      <c r="C10" s="51"/>
      <c r="D10" s="45"/>
      <c r="E10" s="51"/>
      <c r="F10" s="45"/>
      <c r="G10" s="51"/>
      <c r="H10" s="45"/>
      <c r="I10" s="51"/>
      <c r="J10" s="45"/>
      <c r="K10" s="51"/>
      <c r="L10" s="45"/>
      <c r="M10" s="51"/>
      <c r="N10" s="45"/>
      <c r="O10" s="51"/>
      <c r="P10" s="45"/>
      <c r="Q10" s="51"/>
      <c r="R10" s="45"/>
      <c r="S10" s="51"/>
      <c r="T10" s="44"/>
      <c r="U10" s="51"/>
      <c r="V10" s="45"/>
      <c r="W10" s="51"/>
      <c r="X10" s="45"/>
      <c r="Y10" s="51"/>
      <c r="Z10" s="45"/>
      <c r="AA10" s="51"/>
      <c r="AB10" s="45"/>
      <c r="AC10" s="51"/>
      <c r="AD10" s="45"/>
      <c r="AE10" s="51"/>
    </row>
    <row r="11" spans="1:32" ht="11.25" customHeight="1">
      <c r="A11" s="52" t="s">
        <v>149</v>
      </c>
      <c r="B11" s="53"/>
      <c r="C11" s="53"/>
      <c r="D11" s="53"/>
      <c r="E11" s="53"/>
      <c r="F11" s="53"/>
      <c r="G11" s="53"/>
      <c r="H11" s="103"/>
      <c r="I11" s="106"/>
      <c r="J11" s="103"/>
      <c r="K11" s="106"/>
      <c r="L11" s="103"/>
      <c r="M11" s="106"/>
      <c r="N11" s="103"/>
      <c r="O11" s="106"/>
      <c r="P11" s="103"/>
      <c r="Q11" s="106"/>
      <c r="R11" s="103"/>
      <c r="S11" s="106"/>
      <c r="T11" s="53"/>
      <c r="U11" s="106"/>
      <c r="V11" s="103"/>
      <c r="W11" s="106"/>
      <c r="X11" s="103"/>
      <c r="Y11" s="106"/>
      <c r="Z11" s="103"/>
      <c r="AA11" s="106"/>
      <c r="AB11" s="103"/>
      <c r="AC11" s="106"/>
      <c r="AD11" s="103"/>
      <c r="AE11" s="106"/>
    </row>
    <row r="12" spans="1:32" ht="11.25" customHeight="1">
      <c r="A12" s="60" t="s">
        <v>150</v>
      </c>
      <c r="B12" s="53"/>
      <c r="C12" s="54">
        <v>203</v>
      </c>
      <c r="D12" s="237"/>
      <c r="E12" s="108">
        <v>5380</v>
      </c>
      <c r="F12" s="237"/>
      <c r="G12" s="12">
        <v>26.51</v>
      </c>
      <c r="H12" s="237"/>
      <c r="I12" s="106">
        <v>1200</v>
      </c>
      <c r="J12" s="237"/>
      <c r="K12" s="110">
        <v>35000</v>
      </c>
      <c r="L12" s="237"/>
      <c r="M12" s="111">
        <v>29.05</v>
      </c>
      <c r="N12" s="237"/>
      <c r="O12" s="106">
        <v>1830</v>
      </c>
      <c r="P12" s="237"/>
      <c r="Q12" s="110">
        <v>56800</v>
      </c>
      <c r="R12" s="237"/>
      <c r="S12" s="111">
        <v>31.08</v>
      </c>
      <c r="T12" s="237"/>
      <c r="U12" s="106">
        <v>513</v>
      </c>
      <c r="V12" s="119" t="s">
        <v>225</v>
      </c>
      <c r="W12" s="110">
        <v>15900</v>
      </c>
      <c r="X12" s="119" t="s">
        <v>225</v>
      </c>
      <c r="Y12" s="111">
        <v>30.98</v>
      </c>
      <c r="Z12" s="119" t="s">
        <v>225</v>
      </c>
      <c r="AA12" s="106">
        <v>3750</v>
      </c>
      <c r="AB12" s="119" t="s">
        <v>225</v>
      </c>
      <c r="AC12" s="110">
        <v>113000</v>
      </c>
      <c r="AD12" s="119"/>
      <c r="AE12" s="111">
        <v>30.17</v>
      </c>
      <c r="AF12" s="119"/>
    </row>
    <row r="13" spans="1:32" ht="11.25" customHeight="1">
      <c r="A13" s="60" t="s">
        <v>151</v>
      </c>
      <c r="B13" s="53"/>
      <c r="C13" s="117" t="s">
        <v>34</v>
      </c>
      <c r="D13" s="107"/>
      <c r="E13" s="117" t="s">
        <v>34</v>
      </c>
      <c r="F13" s="112"/>
      <c r="G13" s="125">
        <v>34.36</v>
      </c>
      <c r="H13" s="103"/>
      <c r="I13" s="115">
        <v>1410</v>
      </c>
      <c r="J13" s="237"/>
      <c r="K13" s="115">
        <v>51800</v>
      </c>
      <c r="L13" s="237"/>
      <c r="M13" s="13">
        <v>36.69</v>
      </c>
      <c r="N13" s="237"/>
      <c r="O13" s="106">
        <v>1360</v>
      </c>
      <c r="P13" s="237"/>
      <c r="Q13" s="106">
        <v>41600</v>
      </c>
      <c r="R13" s="237"/>
      <c r="S13" s="116">
        <v>30.65</v>
      </c>
      <c r="T13" s="237"/>
      <c r="U13" s="117" t="s">
        <v>34</v>
      </c>
      <c r="V13" s="103"/>
      <c r="W13" s="117" t="s">
        <v>34</v>
      </c>
      <c r="X13" s="103"/>
      <c r="Y13" s="116">
        <v>38.06</v>
      </c>
      <c r="Z13" s="237"/>
      <c r="AA13" s="106">
        <v>3240</v>
      </c>
      <c r="AB13" s="237"/>
      <c r="AC13" s="106">
        <v>111000</v>
      </c>
      <c r="AD13" s="237"/>
      <c r="AE13" s="118">
        <v>34.200000000000003</v>
      </c>
      <c r="AF13" s="237"/>
    </row>
    <row r="14" spans="1:32" ht="11.25" customHeight="1">
      <c r="A14" s="60" t="s">
        <v>152</v>
      </c>
      <c r="B14" s="53"/>
      <c r="C14" s="113" t="s">
        <v>34</v>
      </c>
      <c r="D14" s="113"/>
      <c r="E14" s="113" t="s">
        <v>34</v>
      </c>
      <c r="F14" s="103"/>
      <c r="G14" s="113" t="s">
        <v>34</v>
      </c>
      <c r="H14" s="103"/>
      <c r="I14" s="115">
        <v>197</v>
      </c>
      <c r="J14" s="237"/>
      <c r="K14" s="115">
        <v>8860</v>
      </c>
      <c r="L14" s="237"/>
      <c r="M14" s="13">
        <v>44.96</v>
      </c>
      <c r="N14" s="237"/>
      <c r="O14" s="113" t="s">
        <v>34</v>
      </c>
      <c r="P14" s="237"/>
      <c r="Q14" s="113" t="s">
        <v>34</v>
      </c>
      <c r="R14" s="237"/>
      <c r="S14" s="13">
        <v>56.8</v>
      </c>
      <c r="T14" s="237"/>
      <c r="U14" s="120" t="s">
        <v>34</v>
      </c>
      <c r="V14" s="103"/>
      <c r="W14" s="120" t="s">
        <v>34</v>
      </c>
      <c r="X14" s="103"/>
      <c r="Y14" s="116">
        <v>50.18</v>
      </c>
      <c r="Z14" s="237"/>
      <c r="AA14" s="106">
        <v>406</v>
      </c>
      <c r="AB14" s="237"/>
      <c r="AC14" s="106">
        <v>20200</v>
      </c>
      <c r="AD14" s="237"/>
      <c r="AE14" s="118">
        <v>49.64</v>
      </c>
      <c r="AF14" s="237"/>
    </row>
    <row r="15" spans="1:32" ht="11.25" customHeight="1">
      <c r="A15" s="60" t="s">
        <v>153</v>
      </c>
      <c r="B15" s="53"/>
      <c r="C15" s="113" t="s">
        <v>34</v>
      </c>
      <c r="D15" s="109"/>
      <c r="E15" s="113" t="s">
        <v>34</v>
      </c>
      <c r="F15" s="103"/>
      <c r="G15" s="113" t="s">
        <v>34</v>
      </c>
      <c r="H15" s="103"/>
      <c r="I15" s="106">
        <v>65</v>
      </c>
      <c r="J15" s="237"/>
      <c r="K15" s="106">
        <v>1540</v>
      </c>
      <c r="L15" s="237"/>
      <c r="M15" s="116">
        <v>23.75</v>
      </c>
      <c r="N15" s="237"/>
      <c r="O15" s="106">
        <v>202</v>
      </c>
      <c r="P15" s="237"/>
      <c r="Q15" s="106">
        <v>8120</v>
      </c>
      <c r="R15" s="237"/>
      <c r="S15" s="116">
        <v>40.200000000000003</v>
      </c>
      <c r="T15" s="237"/>
      <c r="U15" s="121" t="s">
        <v>34</v>
      </c>
      <c r="V15" s="103"/>
      <c r="W15" s="121" t="s">
        <v>34</v>
      </c>
      <c r="X15" s="103"/>
      <c r="Y15" s="122">
        <v>74.900000000000006</v>
      </c>
      <c r="Z15" s="237"/>
      <c r="AA15" s="106">
        <v>294</v>
      </c>
      <c r="AB15" s="237"/>
      <c r="AC15" s="106">
        <v>11800</v>
      </c>
      <c r="AD15" s="103"/>
      <c r="AE15" s="118">
        <v>40.04</v>
      </c>
    </row>
    <row r="16" spans="1:32" ht="11.25" customHeight="1">
      <c r="A16" s="60" t="s">
        <v>154</v>
      </c>
      <c r="B16" s="53"/>
      <c r="C16" s="121" t="s">
        <v>47</v>
      </c>
      <c r="D16" s="109"/>
      <c r="E16" s="121" t="s">
        <v>47</v>
      </c>
      <c r="F16" s="103"/>
      <c r="G16" s="121" t="s">
        <v>47</v>
      </c>
      <c r="H16" s="103"/>
      <c r="I16" s="113" t="s">
        <v>34</v>
      </c>
      <c r="J16" s="109"/>
      <c r="K16" s="113" t="s">
        <v>34</v>
      </c>
      <c r="L16" s="103"/>
      <c r="M16" s="13">
        <v>76.83</v>
      </c>
      <c r="N16" s="103"/>
      <c r="O16" s="106">
        <v>434</v>
      </c>
      <c r="P16" s="112"/>
      <c r="Q16" s="106">
        <v>24100</v>
      </c>
      <c r="R16" s="103"/>
      <c r="S16" s="116">
        <v>55.47</v>
      </c>
      <c r="T16" s="53"/>
      <c r="U16" s="120" t="s">
        <v>34</v>
      </c>
      <c r="V16" s="103"/>
      <c r="W16" s="120" t="s">
        <v>34</v>
      </c>
      <c r="X16" s="103"/>
      <c r="Y16" s="117" t="s">
        <v>34</v>
      </c>
      <c r="Z16" s="103"/>
      <c r="AA16" s="106">
        <v>497</v>
      </c>
      <c r="AB16" s="103"/>
      <c r="AC16" s="106">
        <v>28900</v>
      </c>
      <c r="AD16" s="103"/>
      <c r="AE16" s="118">
        <v>58.11</v>
      </c>
    </row>
    <row r="17" spans="1:32" ht="11.25" customHeight="1">
      <c r="A17" s="52" t="s">
        <v>155</v>
      </c>
      <c r="B17" s="53"/>
      <c r="C17" s="121"/>
      <c r="D17" s="109"/>
      <c r="E17" s="123"/>
      <c r="F17" s="103"/>
      <c r="G17" s="124"/>
      <c r="H17" s="103"/>
      <c r="I17" s="106"/>
      <c r="J17" s="109"/>
      <c r="K17" s="106"/>
      <c r="L17" s="103"/>
      <c r="M17" s="116"/>
      <c r="N17" s="103"/>
      <c r="O17" s="106"/>
      <c r="P17" s="103"/>
      <c r="Q17" s="106"/>
      <c r="R17" s="103"/>
      <c r="S17" s="116"/>
      <c r="T17" s="53"/>
      <c r="U17" s="106"/>
      <c r="V17" s="103"/>
      <c r="W17" s="106"/>
      <c r="X17" s="103"/>
      <c r="Y17" s="116"/>
      <c r="Z17" s="103"/>
      <c r="AA17" s="106"/>
      <c r="AB17" s="103"/>
      <c r="AC17" s="106"/>
      <c r="AD17" s="103"/>
      <c r="AE17" s="118"/>
    </row>
    <row r="18" spans="1:32" ht="11.25" customHeight="1">
      <c r="A18" s="60" t="s">
        <v>156</v>
      </c>
      <c r="B18" s="53"/>
      <c r="C18" s="120" t="s">
        <v>34</v>
      </c>
      <c r="D18" s="107"/>
      <c r="E18" s="120" t="s">
        <v>34</v>
      </c>
      <c r="F18" s="103"/>
      <c r="G18" s="113" t="s">
        <v>34</v>
      </c>
      <c r="H18" s="103"/>
      <c r="I18" s="106">
        <v>1440</v>
      </c>
      <c r="J18" s="109"/>
      <c r="K18" s="106">
        <v>60800</v>
      </c>
      <c r="L18" s="103"/>
      <c r="M18" s="13">
        <v>42.28</v>
      </c>
      <c r="N18" s="103"/>
      <c r="O18" s="106">
        <v>359</v>
      </c>
      <c r="P18" s="119" t="s">
        <v>225</v>
      </c>
      <c r="Q18" s="106">
        <v>19500</v>
      </c>
      <c r="R18" s="103" t="s">
        <v>225</v>
      </c>
      <c r="S18" s="13">
        <v>54.34</v>
      </c>
      <c r="T18" s="119" t="s">
        <v>225</v>
      </c>
      <c r="U18" s="117" t="s">
        <v>34</v>
      </c>
      <c r="V18" s="103"/>
      <c r="W18" s="117" t="s">
        <v>34</v>
      </c>
      <c r="X18" s="103"/>
      <c r="Y18" s="116">
        <v>56.33</v>
      </c>
      <c r="Z18" s="103"/>
      <c r="AA18" s="106">
        <v>1870</v>
      </c>
      <c r="AB18" s="103"/>
      <c r="AC18" s="106">
        <v>83900</v>
      </c>
      <c r="AD18" s="119" t="s">
        <v>225</v>
      </c>
      <c r="AE18" s="118">
        <v>44.91</v>
      </c>
      <c r="AF18" s="25" t="s">
        <v>225</v>
      </c>
    </row>
    <row r="19" spans="1:32" ht="11.25" customHeight="1">
      <c r="A19" s="60" t="s">
        <v>157</v>
      </c>
      <c r="B19" s="53"/>
      <c r="C19" s="121" t="s">
        <v>47</v>
      </c>
      <c r="D19" s="109"/>
      <c r="E19" s="121" t="s">
        <v>47</v>
      </c>
      <c r="F19" s="103"/>
      <c r="G19" s="121" t="s">
        <v>47</v>
      </c>
      <c r="H19" s="103"/>
      <c r="I19" s="120" t="s">
        <v>34</v>
      </c>
      <c r="J19" s="109"/>
      <c r="K19" s="120" t="s">
        <v>34</v>
      </c>
      <c r="L19" s="103"/>
      <c r="M19" s="116">
        <v>47.99</v>
      </c>
      <c r="N19" s="103"/>
      <c r="O19" s="56" t="s">
        <v>179</v>
      </c>
      <c r="P19" s="112"/>
      <c r="Q19" s="115">
        <v>32</v>
      </c>
      <c r="R19" s="103"/>
      <c r="S19" s="125">
        <v>77.11</v>
      </c>
      <c r="T19" s="53"/>
      <c r="U19" s="121" t="s">
        <v>47</v>
      </c>
      <c r="V19" s="103"/>
      <c r="W19" s="121" t="s">
        <v>47</v>
      </c>
      <c r="X19" s="103"/>
      <c r="Y19" s="121" t="s">
        <v>47</v>
      </c>
      <c r="Z19" s="103"/>
      <c r="AA19" s="117" t="s">
        <v>34</v>
      </c>
      <c r="AB19" s="103"/>
      <c r="AC19" s="117" t="s">
        <v>34</v>
      </c>
      <c r="AD19" s="103"/>
      <c r="AE19" s="118">
        <v>48.02</v>
      </c>
    </row>
    <row r="20" spans="1:32" ht="11.25" customHeight="1">
      <c r="A20" s="60" t="s">
        <v>158</v>
      </c>
      <c r="B20" s="53"/>
      <c r="C20" s="123">
        <v>5</v>
      </c>
      <c r="D20" s="109"/>
      <c r="E20" s="123">
        <v>475</v>
      </c>
      <c r="F20" s="103"/>
      <c r="G20" s="122">
        <v>95</v>
      </c>
      <c r="H20" s="103"/>
      <c r="I20" s="115">
        <v>41</v>
      </c>
      <c r="J20" s="109"/>
      <c r="K20" s="115">
        <v>1830</v>
      </c>
      <c r="L20" s="103"/>
      <c r="M20" s="13">
        <v>44.56</v>
      </c>
      <c r="N20" s="103"/>
      <c r="O20" s="106">
        <v>144</v>
      </c>
      <c r="P20" s="103"/>
      <c r="Q20" s="106">
        <v>6660</v>
      </c>
      <c r="R20" s="103" t="s">
        <v>225</v>
      </c>
      <c r="S20" s="116">
        <v>46.22</v>
      </c>
      <c r="T20" s="119" t="s">
        <v>225</v>
      </c>
      <c r="U20" s="121" t="s">
        <v>47</v>
      </c>
      <c r="V20" s="106"/>
      <c r="W20" s="121" t="s">
        <v>47</v>
      </c>
      <c r="X20" s="103"/>
      <c r="Y20" s="121" t="s">
        <v>47</v>
      </c>
      <c r="Z20" s="103"/>
      <c r="AA20" s="106">
        <v>189</v>
      </c>
      <c r="AB20" s="103"/>
      <c r="AC20" s="106">
        <v>8960</v>
      </c>
      <c r="AD20" s="119" t="s">
        <v>225</v>
      </c>
      <c r="AE20" s="118">
        <v>47.39</v>
      </c>
      <c r="AF20" s="25" t="s">
        <v>225</v>
      </c>
    </row>
    <row r="21" spans="1:32" ht="11.25" customHeight="1">
      <c r="A21" s="52" t="s">
        <v>189</v>
      </c>
      <c r="B21" s="53"/>
      <c r="C21" s="121" t="s">
        <v>47</v>
      </c>
      <c r="D21" s="109"/>
      <c r="E21" s="121" t="s">
        <v>47</v>
      </c>
      <c r="F21" s="103"/>
      <c r="G21" s="121" t="s">
        <v>47</v>
      </c>
      <c r="H21" s="103"/>
      <c r="I21" s="121" t="s">
        <v>34</v>
      </c>
      <c r="J21" s="109"/>
      <c r="K21" s="121" t="s">
        <v>34</v>
      </c>
      <c r="L21" s="103"/>
      <c r="M21" s="122">
        <v>3.06</v>
      </c>
      <c r="N21" s="103"/>
      <c r="O21" s="113" t="s">
        <v>34</v>
      </c>
      <c r="P21" s="103"/>
      <c r="Q21" s="113" t="s">
        <v>34</v>
      </c>
      <c r="R21" s="103"/>
      <c r="S21" s="124">
        <v>24.14</v>
      </c>
      <c r="T21" s="53"/>
      <c r="U21" s="120" t="s">
        <v>34</v>
      </c>
      <c r="V21" s="103"/>
      <c r="W21" s="120" t="s">
        <v>34</v>
      </c>
      <c r="X21" s="103"/>
      <c r="Y21" s="116">
        <v>10</v>
      </c>
      <c r="Z21" s="103"/>
      <c r="AA21" s="120" t="s">
        <v>34</v>
      </c>
      <c r="AB21" s="103"/>
      <c r="AC21" s="120" t="s">
        <v>34</v>
      </c>
      <c r="AD21" s="103"/>
      <c r="AE21" s="118">
        <v>13.48</v>
      </c>
      <c r="AF21" s="25"/>
    </row>
    <row r="22" spans="1:32" ht="11.25" customHeight="1">
      <c r="A22" s="52" t="s">
        <v>245</v>
      </c>
      <c r="B22" s="53"/>
      <c r="AF22" s="25"/>
    </row>
    <row r="23" spans="1:32" ht="11.25" customHeight="1">
      <c r="A23" s="126" t="s">
        <v>244</v>
      </c>
      <c r="B23" s="53"/>
      <c r="C23" s="115">
        <v>46</v>
      </c>
      <c r="D23" s="107"/>
      <c r="E23" s="115">
        <v>2920</v>
      </c>
      <c r="F23" s="103"/>
      <c r="G23" s="13">
        <v>63.46</v>
      </c>
      <c r="H23" s="103"/>
      <c r="I23" s="117" t="s">
        <v>34</v>
      </c>
      <c r="J23" s="114"/>
      <c r="K23" s="117" t="s">
        <v>34</v>
      </c>
      <c r="L23" s="103"/>
      <c r="M23" s="117" t="s">
        <v>34</v>
      </c>
      <c r="N23" s="103"/>
      <c r="O23" s="106">
        <v>288</v>
      </c>
      <c r="P23" s="103" t="s">
        <v>225</v>
      </c>
      <c r="Q23" s="106">
        <v>17200</v>
      </c>
      <c r="R23" s="103" t="s">
        <v>225</v>
      </c>
      <c r="S23" s="13">
        <v>59.75</v>
      </c>
      <c r="T23" s="237" t="s">
        <v>225</v>
      </c>
      <c r="U23" s="117" t="s">
        <v>34</v>
      </c>
      <c r="V23" s="103"/>
      <c r="W23" s="117" t="s">
        <v>34</v>
      </c>
      <c r="X23" s="103"/>
      <c r="Y23" s="116">
        <v>95.33</v>
      </c>
      <c r="Z23" s="103"/>
      <c r="AA23" s="106">
        <v>358</v>
      </c>
      <c r="AB23" s="119" t="s">
        <v>225</v>
      </c>
      <c r="AC23" s="106">
        <v>21800</v>
      </c>
      <c r="AD23" s="119" t="s">
        <v>225</v>
      </c>
      <c r="AE23" s="118">
        <v>60.85</v>
      </c>
      <c r="AF23" s="25" t="s">
        <v>225</v>
      </c>
    </row>
    <row r="24" spans="1:32" ht="11.25" customHeight="1">
      <c r="A24" s="126" t="s">
        <v>246</v>
      </c>
      <c r="B24" s="53"/>
      <c r="C24" s="113" t="s">
        <v>47</v>
      </c>
      <c r="D24" s="107"/>
      <c r="E24" s="113" t="s">
        <v>47</v>
      </c>
      <c r="F24" s="103"/>
      <c r="G24" s="113" t="s">
        <v>47</v>
      </c>
      <c r="H24" s="103"/>
      <c r="I24" s="106">
        <v>2</v>
      </c>
      <c r="J24" s="109"/>
      <c r="K24" s="106">
        <v>110</v>
      </c>
      <c r="L24" s="103"/>
      <c r="M24" s="116">
        <v>55.5</v>
      </c>
      <c r="N24" s="103"/>
      <c r="O24" s="121" t="s">
        <v>47</v>
      </c>
      <c r="P24" s="119"/>
      <c r="Q24" s="121" t="s">
        <v>47</v>
      </c>
      <c r="R24" s="119"/>
      <c r="S24" s="37" t="s">
        <v>47</v>
      </c>
      <c r="T24" s="53"/>
      <c r="U24" s="121" t="s">
        <v>47</v>
      </c>
      <c r="V24" s="103"/>
      <c r="W24" s="121" t="s">
        <v>47</v>
      </c>
      <c r="X24" s="103"/>
      <c r="Y24" s="121" t="s">
        <v>47</v>
      </c>
      <c r="Z24" s="103"/>
      <c r="AA24" s="106">
        <v>2</v>
      </c>
      <c r="AB24" s="112"/>
      <c r="AC24" s="106">
        <v>111</v>
      </c>
      <c r="AD24" s="103"/>
      <c r="AE24" s="118">
        <v>55.5</v>
      </c>
      <c r="AF24" s="25"/>
    </row>
    <row r="25" spans="1:32" ht="11.25" customHeight="1">
      <c r="A25" s="126" t="s">
        <v>247</v>
      </c>
      <c r="B25" s="53"/>
      <c r="C25" s="113" t="s">
        <v>47</v>
      </c>
      <c r="D25" s="107"/>
      <c r="E25" s="113" t="s">
        <v>47</v>
      </c>
      <c r="F25" s="103"/>
      <c r="G25" s="113" t="s">
        <v>47</v>
      </c>
      <c r="H25" s="103"/>
      <c r="I25" s="117" t="s">
        <v>34</v>
      </c>
      <c r="J25" s="109"/>
      <c r="K25" s="117" t="s">
        <v>34</v>
      </c>
      <c r="L25" s="103"/>
      <c r="M25" s="116">
        <v>54.35</v>
      </c>
      <c r="N25" s="103"/>
      <c r="O25" s="121" t="s">
        <v>47</v>
      </c>
      <c r="P25" s="103"/>
      <c r="Q25" s="121" t="s">
        <v>47</v>
      </c>
      <c r="R25" s="103"/>
      <c r="S25" s="121" t="s">
        <v>47</v>
      </c>
      <c r="T25" s="53"/>
      <c r="U25" s="121" t="s">
        <v>47</v>
      </c>
      <c r="V25" s="103"/>
      <c r="W25" s="121" t="s">
        <v>47</v>
      </c>
      <c r="X25" s="103"/>
      <c r="Y25" s="121" t="s">
        <v>47</v>
      </c>
      <c r="Z25" s="103"/>
      <c r="AA25" s="117" t="s">
        <v>34</v>
      </c>
      <c r="AB25" s="103"/>
      <c r="AC25" s="117" t="s">
        <v>34</v>
      </c>
      <c r="AD25" s="103"/>
      <c r="AE25" s="118">
        <v>54.35</v>
      </c>
      <c r="AF25" s="25" t="s">
        <v>225</v>
      </c>
    </row>
    <row r="26" spans="1:32" ht="11.25" customHeight="1">
      <c r="A26" s="52" t="s">
        <v>159</v>
      </c>
      <c r="B26" s="53"/>
      <c r="C26" s="121" t="s">
        <v>34</v>
      </c>
      <c r="D26" s="114"/>
      <c r="E26" s="121" t="s">
        <v>34</v>
      </c>
      <c r="F26" s="112"/>
      <c r="G26" s="121" t="s">
        <v>34</v>
      </c>
      <c r="H26" s="103"/>
      <c r="I26" s="115">
        <v>265</v>
      </c>
      <c r="J26" s="107"/>
      <c r="K26" s="115">
        <v>6920</v>
      </c>
      <c r="L26" s="103"/>
      <c r="M26" s="13">
        <v>26.09</v>
      </c>
      <c r="N26" s="103"/>
      <c r="O26" s="117" t="s">
        <v>34</v>
      </c>
      <c r="P26" s="103"/>
      <c r="Q26" s="117" t="s">
        <v>34</v>
      </c>
      <c r="R26" s="103"/>
      <c r="S26" s="13">
        <v>59.26</v>
      </c>
      <c r="T26" s="53"/>
      <c r="U26" s="113" t="s">
        <v>47</v>
      </c>
      <c r="V26" s="103"/>
      <c r="W26" s="113" t="s">
        <v>47</v>
      </c>
      <c r="X26" s="103"/>
      <c r="Y26" s="121" t="s">
        <v>47</v>
      </c>
      <c r="Z26" s="103"/>
      <c r="AA26" s="106">
        <v>545</v>
      </c>
      <c r="AB26" s="103"/>
      <c r="AC26" s="106">
        <v>23500</v>
      </c>
      <c r="AD26" s="103"/>
      <c r="AE26" s="118">
        <v>43.14</v>
      </c>
      <c r="AF26" s="25"/>
    </row>
    <row r="27" spans="1:32" ht="11.25" customHeight="1">
      <c r="A27" s="127" t="s">
        <v>160</v>
      </c>
      <c r="B27" s="128"/>
      <c r="C27" s="121" t="s">
        <v>34</v>
      </c>
      <c r="D27" s="121"/>
      <c r="E27" s="121" t="s">
        <v>34</v>
      </c>
      <c r="F27" s="112"/>
      <c r="G27" s="17">
        <v>188</v>
      </c>
      <c r="H27" s="103"/>
      <c r="I27" s="115">
        <v>23</v>
      </c>
      <c r="J27" s="109"/>
      <c r="K27" s="115">
        <v>2070</v>
      </c>
      <c r="L27" s="103"/>
      <c r="M27" s="13">
        <v>89.87</v>
      </c>
      <c r="N27" s="103"/>
      <c r="O27" s="115">
        <v>72</v>
      </c>
      <c r="P27" s="112"/>
      <c r="Q27" s="115">
        <v>4710</v>
      </c>
      <c r="R27" s="103"/>
      <c r="S27" s="13">
        <v>65.47</v>
      </c>
      <c r="T27" s="128"/>
      <c r="U27" s="120" t="s">
        <v>34</v>
      </c>
      <c r="V27" s="103"/>
      <c r="W27" s="120" t="s">
        <v>34</v>
      </c>
      <c r="X27" s="103"/>
      <c r="Y27" s="117" t="s">
        <v>34</v>
      </c>
      <c r="Z27" s="103"/>
      <c r="AA27" s="106">
        <v>100</v>
      </c>
      <c r="AB27" s="103"/>
      <c r="AC27" s="106">
        <v>7320</v>
      </c>
      <c r="AD27" s="103"/>
      <c r="AE27" s="118">
        <v>73.19</v>
      </c>
      <c r="AF27" s="25"/>
    </row>
    <row r="28" spans="1:32" ht="11.25" customHeight="1">
      <c r="A28" s="127" t="s">
        <v>161</v>
      </c>
      <c r="B28" s="128"/>
      <c r="C28" s="106">
        <v>310</v>
      </c>
      <c r="D28" s="107"/>
      <c r="E28" s="106">
        <v>14100</v>
      </c>
      <c r="F28" s="103"/>
      <c r="G28" s="13">
        <v>45.35</v>
      </c>
      <c r="H28" s="103"/>
      <c r="I28" s="106">
        <v>544</v>
      </c>
      <c r="J28" s="107"/>
      <c r="K28" s="106">
        <v>14100</v>
      </c>
      <c r="L28" s="103"/>
      <c r="M28" s="13">
        <v>25.92</v>
      </c>
      <c r="N28" s="103"/>
      <c r="O28" s="106">
        <v>420</v>
      </c>
      <c r="P28" s="103" t="s">
        <v>225</v>
      </c>
      <c r="Q28" s="106">
        <v>19700</v>
      </c>
      <c r="R28" s="103"/>
      <c r="S28" s="13">
        <v>46.83</v>
      </c>
      <c r="T28" s="240" t="s">
        <v>225</v>
      </c>
      <c r="U28" s="106">
        <v>636</v>
      </c>
      <c r="V28" s="119" t="s">
        <v>225</v>
      </c>
      <c r="W28" s="106">
        <v>38500</v>
      </c>
      <c r="X28" s="119" t="s">
        <v>225</v>
      </c>
      <c r="Y28" s="116">
        <v>60.5</v>
      </c>
      <c r="Z28" s="119" t="s">
        <v>225</v>
      </c>
      <c r="AA28" s="106">
        <v>1910</v>
      </c>
      <c r="AB28" s="119" t="s">
        <v>225</v>
      </c>
      <c r="AC28" s="106">
        <v>86300</v>
      </c>
      <c r="AD28" s="119" t="s">
        <v>225</v>
      </c>
      <c r="AE28" s="118">
        <v>45.21</v>
      </c>
      <c r="AF28" s="25" t="s">
        <v>225</v>
      </c>
    </row>
    <row r="29" spans="1:32" ht="11.25" customHeight="1">
      <c r="A29" s="127" t="s">
        <v>162</v>
      </c>
      <c r="B29" s="128"/>
      <c r="C29" s="121" t="s">
        <v>34</v>
      </c>
      <c r="D29" s="109"/>
      <c r="E29" s="121" t="s">
        <v>34</v>
      </c>
      <c r="F29" s="103"/>
      <c r="G29" s="121" t="s">
        <v>34</v>
      </c>
      <c r="H29" s="103"/>
      <c r="I29" s="106">
        <v>112</v>
      </c>
      <c r="J29" s="107"/>
      <c r="K29" s="106">
        <v>6970</v>
      </c>
      <c r="L29" s="103"/>
      <c r="M29" s="116">
        <v>62.24</v>
      </c>
      <c r="N29" s="103"/>
      <c r="O29" s="106">
        <v>83</v>
      </c>
      <c r="P29" s="103"/>
      <c r="Q29" s="106">
        <v>4030</v>
      </c>
      <c r="R29" s="103"/>
      <c r="S29" s="13">
        <v>48.51</v>
      </c>
      <c r="T29" s="128"/>
      <c r="U29" s="113" t="s">
        <v>34</v>
      </c>
      <c r="V29" s="103"/>
      <c r="W29" s="120" t="s">
        <v>34</v>
      </c>
      <c r="X29" s="103"/>
      <c r="Y29" s="124">
        <v>74.97</v>
      </c>
      <c r="Z29" s="103"/>
      <c r="AA29" s="106">
        <v>196</v>
      </c>
      <c r="AB29" s="112"/>
      <c r="AC29" s="106">
        <v>11000</v>
      </c>
      <c r="AD29" s="103"/>
      <c r="AE29" s="118">
        <v>56.32</v>
      </c>
      <c r="AF29" s="25"/>
    </row>
    <row r="30" spans="1:32" ht="11.25" customHeight="1">
      <c r="A30" s="52" t="s">
        <v>243</v>
      </c>
      <c r="B30" s="128"/>
      <c r="C30" s="106"/>
      <c r="D30" s="109"/>
      <c r="E30" s="106"/>
      <c r="F30" s="103"/>
      <c r="G30" s="13"/>
      <c r="H30" s="103"/>
      <c r="I30" s="106"/>
      <c r="J30" s="109"/>
      <c r="K30" s="106"/>
      <c r="L30" s="103"/>
      <c r="M30" s="116"/>
      <c r="N30" s="103"/>
      <c r="O30" s="106"/>
      <c r="P30" s="103"/>
      <c r="Q30" s="106"/>
      <c r="R30" s="103"/>
      <c r="S30" s="116"/>
      <c r="T30" s="128"/>
      <c r="U30" s="106"/>
      <c r="V30" s="103"/>
      <c r="W30" s="106"/>
      <c r="X30" s="103"/>
      <c r="Y30" s="116"/>
      <c r="Z30" s="103"/>
      <c r="AA30" s="106"/>
      <c r="AB30" s="103"/>
      <c r="AC30" s="106"/>
      <c r="AD30" s="103"/>
      <c r="AE30" s="118"/>
      <c r="AF30" s="25"/>
    </row>
    <row r="31" spans="1:32" ht="11.25" customHeight="1">
      <c r="A31" s="60" t="s">
        <v>163</v>
      </c>
      <c r="B31" s="128"/>
      <c r="C31" s="123">
        <v>40</v>
      </c>
      <c r="D31" s="107"/>
      <c r="E31" s="123">
        <v>3820</v>
      </c>
      <c r="F31" s="103"/>
      <c r="G31" s="13">
        <v>95.45</v>
      </c>
      <c r="H31" s="103"/>
      <c r="I31" s="106">
        <v>179</v>
      </c>
      <c r="J31" s="109"/>
      <c r="K31" s="106">
        <v>12700</v>
      </c>
      <c r="L31" s="103"/>
      <c r="M31" s="13">
        <v>70.88</v>
      </c>
      <c r="N31" s="103"/>
      <c r="O31" s="117" t="s">
        <v>34</v>
      </c>
      <c r="P31" s="119"/>
      <c r="Q31" s="117" t="s">
        <v>34</v>
      </c>
      <c r="R31" s="103"/>
      <c r="S31" s="13">
        <v>80.73</v>
      </c>
      <c r="T31" s="128"/>
      <c r="U31" s="117" t="s">
        <v>34</v>
      </c>
      <c r="V31" s="103"/>
      <c r="W31" s="117" t="s">
        <v>34</v>
      </c>
      <c r="X31" s="103"/>
      <c r="Y31" s="117" t="s">
        <v>34</v>
      </c>
      <c r="Z31" s="103"/>
      <c r="AA31" s="106">
        <v>1190</v>
      </c>
      <c r="AB31" s="103"/>
      <c r="AC31" s="106">
        <v>94900</v>
      </c>
      <c r="AD31" s="103"/>
      <c r="AE31" s="118">
        <v>79.709999999999994</v>
      </c>
      <c r="AF31" s="25"/>
    </row>
    <row r="32" spans="1:32" ht="11.25" customHeight="1">
      <c r="A32" s="60" t="s">
        <v>164</v>
      </c>
      <c r="B32" s="128"/>
      <c r="C32" s="117" t="s">
        <v>34</v>
      </c>
      <c r="D32" s="114"/>
      <c r="E32" s="117" t="s">
        <v>34</v>
      </c>
      <c r="F32" s="103"/>
      <c r="G32" s="72" t="s">
        <v>34</v>
      </c>
      <c r="H32" s="103"/>
      <c r="I32" s="106">
        <v>6</v>
      </c>
      <c r="J32" s="109"/>
      <c r="K32" s="106">
        <v>453</v>
      </c>
      <c r="L32" s="103"/>
      <c r="M32" s="13">
        <v>75.5</v>
      </c>
      <c r="N32" s="103"/>
      <c r="O32" s="106">
        <v>161</v>
      </c>
      <c r="P32" s="112"/>
      <c r="Q32" s="106">
        <v>16000</v>
      </c>
      <c r="R32" s="103"/>
      <c r="S32" s="116">
        <v>99.66</v>
      </c>
      <c r="T32" s="128"/>
      <c r="U32" s="117" t="s">
        <v>34</v>
      </c>
      <c r="V32" s="103"/>
      <c r="W32" s="117" t="s">
        <v>34</v>
      </c>
      <c r="X32" s="103"/>
      <c r="Y32" s="116">
        <v>127.38</v>
      </c>
      <c r="Z32" s="103"/>
      <c r="AA32" s="106">
        <v>194</v>
      </c>
      <c r="AB32" s="103"/>
      <c r="AC32" s="106">
        <v>19700</v>
      </c>
      <c r="AD32" s="103"/>
      <c r="AE32" s="118">
        <v>101.8</v>
      </c>
      <c r="AF32" s="25"/>
    </row>
    <row r="33" spans="1:32" ht="11.25" customHeight="1">
      <c r="A33" s="52" t="s">
        <v>165</v>
      </c>
      <c r="B33" s="128"/>
      <c r="C33" s="106"/>
      <c r="D33" s="109"/>
      <c r="E33" s="106"/>
      <c r="F33" s="103"/>
      <c r="G33" s="13"/>
      <c r="H33" s="103"/>
      <c r="I33" s="106"/>
      <c r="J33" s="109"/>
      <c r="K33" s="106"/>
      <c r="L33" s="103"/>
      <c r="M33" s="116"/>
      <c r="N33" s="103"/>
      <c r="O33" s="106"/>
      <c r="P33" s="103"/>
      <c r="Q33" s="106"/>
      <c r="R33" s="103"/>
      <c r="S33" s="116"/>
      <c r="T33" s="128"/>
      <c r="U33" s="106"/>
      <c r="V33" s="103"/>
      <c r="W33" s="129"/>
      <c r="X33" s="103"/>
      <c r="Y33" s="116"/>
      <c r="Z33" s="103"/>
      <c r="AA33" s="106"/>
      <c r="AB33" s="103"/>
      <c r="AC33" s="106"/>
      <c r="AD33" s="103"/>
      <c r="AE33" s="118"/>
      <c r="AF33" s="25"/>
    </row>
    <row r="34" spans="1:32" ht="11.25" customHeight="1">
      <c r="A34" s="60" t="s">
        <v>197</v>
      </c>
      <c r="B34" s="128"/>
      <c r="C34" s="121" t="s">
        <v>34</v>
      </c>
      <c r="D34" s="114"/>
      <c r="E34" s="121" t="s">
        <v>34</v>
      </c>
      <c r="F34" s="103"/>
      <c r="G34" s="17">
        <v>46.73</v>
      </c>
      <c r="H34" s="103"/>
      <c r="I34" s="106">
        <v>22900</v>
      </c>
      <c r="J34" s="237" t="s">
        <v>225</v>
      </c>
      <c r="K34" s="106">
        <v>1150000</v>
      </c>
      <c r="L34" s="119" t="s">
        <v>225</v>
      </c>
      <c r="M34" s="13">
        <v>50.07</v>
      </c>
      <c r="N34" s="119" t="s">
        <v>225</v>
      </c>
      <c r="O34" s="106">
        <v>44100</v>
      </c>
      <c r="P34" s="103" t="s">
        <v>225</v>
      </c>
      <c r="Q34" s="106">
        <v>1600000</v>
      </c>
      <c r="R34" s="103" t="s">
        <v>225</v>
      </c>
      <c r="S34" s="122">
        <v>36.18</v>
      </c>
      <c r="T34" s="240" t="s">
        <v>225</v>
      </c>
      <c r="U34" s="117" t="s">
        <v>34</v>
      </c>
      <c r="V34" s="103"/>
      <c r="W34" s="117" t="s">
        <v>34</v>
      </c>
      <c r="X34" s="103"/>
      <c r="Y34" s="117" t="s">
        <v>34</v>
      </c>
      <c r="Z34" s="103"/>
      <c r="AA34" s="106">
        <v>67600</v>
      </c>
      <c r="AB34" s="119" t="s">
        <v>225</v>
      </c>
      <c r="AC34" s="106">
        <v>2760000</v>
      </c>
      <c r="AD34" s="119" t="s">
        <v>225</v>
      </c>
      <c r="AE34" s="118">
        <v>40.89</v>
      </c>
      <c r="AF34" s="25" t="s">
        <v>225</v>
      </c>
    </row>
    <row r="35" spans="1:32" ht="11.25" customHeight="1">
      <c r="A35" s="60" t="s">
        <v>166</v>
      </c>
      <c r="B35" s="130"/>
      <c r="C35" s="121" t="s">
        <v>47</v>
      </c>
      <c r="D35" s="114"/>
      <c r="E35" s="121" t="s">
        <v>47</v>
      </c>
      <c r="F35" s="119"/>
      <c r="G35" s="121" t="s">
        <v>47</v>
      </c>
      <c r="H35" s="103"/>
      <c r="I35" s="117" t="s">
        <v>34</v>
      </c>
      <c r="J35" s="114"/>
      <c r="K35" s="117" t="s">
        <v>34</v>
      </c>
      <c r="L35" s="103"/>
      <c r="M35" s="122">
        <v>54.45</v>
      </c>
      <c r="N35" s="103"/>
      <c r="O35" s="117" t="s">
        <v>34</v>
      </c>
      <c r="P35" s="119"/>
      <c r="Q35" s="117" t="s">
        <v>34</v>
      </c>
      <c r="R35" s="103"/>
      <c r="S35" s="122">
        <v>31.65</v>
      </c>
      <c r="T35" s="128"/>
      <c r="U35" s="117" t="s">
        <v>34</v>
      </c>
      <c r="V35" s="119"/>
      <c r="W35" s="117" t="s">
        <v>34</v>
      </c>
      <c r="X35" s="103"/>
      <c r="Y35" s="122">
        <v>88.22</v>
      </c>
      <c r="Z35" s="103"/>
      <c r="AA35" s="106">
        <v>3010</v>
      </c>
      <c r="AB35" s="119" t="s">
        <v>225</v>
      </c>
      <c r="AC35" s="106">
        <v>65200</v>
      </c>
      <c r="AD35" s="119" t="s">
        <v>225</v>
      </c>
      <c r="AE35" s="118">
        <v>21.7</v>
      </c>
      <c r="AF35" s="25" t="s">
        <v>225</v>
      </c>
    </row>
    <row r="36" spans="1:32" ht="11.25" customHeight="1">
      <c r="A36" s="52" t="s">
        <v>167</v>
      </c>
      <c r="B36" s="128"/>
      <c r="C36" s="106"/>
      <c r="D36" s="109"/>
      <c r="E36" s="106"/>
      <c r="F36" s="103"/>
      <c r="G36" s="13"/>
      <c r="H36" s="103"/>
      <c r="I36" s="106"/>
      <c r="J36" s="109"/>
      <c r="K36" s="106"/>
      <c r="L36" s="103"/>
      <c r="M36" s="116"/>
      <c r="N36" s="103"/>
      <c r="O36" s="106"/>
      <c r="P36" s="103"/>
      <c r="Q36" s="106"/>
      <c r="R36" s="103"/>
      <c r="S36" s="116"/>
      <c r="T36" s="128"/>
      <c r="U36" s="128"/>
      <c r="V36" s="128"/>
      <c r="W36" s="131"/>
      <c r="X36" s="128"/>
      <c r="Y36" s="128"/>
      <c r="Z36" s="128"/>
      <c r="AA36" s="128"/>
      <c r="AB36" s="128"/>
      <c r="AC36" s="128"/>
      <c r="AD36" s="128"/>
      <c r="AE36" s="118"/>
      <c r="AF36" s="25"/>
    </row>
    <row r="37" spans="1:32" ht="11.25" customHeight="1">
      <c r="A37" s="60" t="s">
        <v>168</v>
      </c>
      <c r="B37" s="128"/>
      <c r="C37" s="123">
        <v>65</v>
      </c>
      <c r="D37" s="107"/>
      <c r="E37" s="123">
        <v>2200</v>
      </c>
      <c r="F37" s="103"/>
      <c r="G37" s="13">
        <v>33.799999999999997</v>
      </c>
      <c r="H37" s="103"/>
      <c r="I37" s="106">
        <v>245</v>
      </c>
      <c r="J37" s="109"/>
      <c r="K37" s="106">
        <v>13000</v>
      </c>
      <c r="L37" s="103"/>
      <c r="M37" s="13">
        <v>53.08</v>
      </c>
      <c r="N37" s="103"/>
      <c r="O37" s="106">
        <v>371</v>
      </c>
      <c r="P37" s="103"/>
      <c r="Q37" s="106">
        <v>9110</v>
      </c>
      <c r="R37" s="103"/>
      <c r="S37" s="13">
        <v>24.54</v>
      </c>
      <c r="T37" s="128"/>
      <c r="U37" s="115">
        <v>83</v>
      </c>
      <c r="V37" s="112"/>
      <c r="W37" s="115">
        <v>4590</v>
      </c>
      <c r="X37" s="103"/>
      <c r="Y37" s="116">
        <v>55.34</v>
      </c>
      <c r="Z37" s="103"/>
      <c r="AA37" s="106">
        <v>764</v>
      </c>
      <c r="AB37" s="103"/>
      <c r="AC37" s="106">
        <v>28900</v>
      </c>
      <c r="AD37" s="103"/>
      <c r="AE37" s="118">
        <v>37.83</v>
      </c>
      <c r="AF37" s="25"/>
    </row>
    <row r="38" spans="1:32" ht="11.25" customHeight="1">
      <c r="A38" s="132" t="s">
        <v>169</v>
      </c>
      <c r="B38" s="128"/>
      <c r="C38" s="121" t="s">
        <v>34</v>
      </c>
      <c r="D38" s="114"/>
      <c r="E38" s="121" t="s">
        <v>34</v>
      </c>
      <c r="F38" s="103"/>
      <c r="G38" s="72" t="s">
        <v>34</v>
      </c>
      <c r="H38" s="103"/>
      <c r="I38" s="117" t="s">
        <v>34</v>
      </c>
      <c r="J38" s="114"/>
      <c r="K38" s="117" t="s">
        <v>34</v>
      </c>
      <c r="L38" s="103"/>
      <c r="M38" s="13">
        <v>53.76</v>
      </c>
      <c r="N38" s="103"/>
      <c r="O38" s="106">
        <v>273</v>
      </c>
      <c r="P38" s="119" t="s">
        <v>225</v>
      </c>
      <c r="Q38" s="106">
        <v>15400</v>
      </c>
      <c r="R38" s="119" t="s">
        <v>225</v>
      </c>
      <c r="S38" s="13">
        <v>56.39</v>
      </c>
      <c r="T38" s="240" t="s">
        <v>225</v>
      </c>
      <c r="U38" s="115">
        <v>154</v>
      </c>
      <c r="V38" s="119" t="s">
        <v>225</v>
      </c>
      <c r="W38" s="115">
        <v>8040</v>
      </c>
      <c r="X38" s="119" t="s">
        <v>225</v>
      </c>
      <c r="Y38" s="116">
        <v>52.2</v>
      </c>
      <c r="Z38" s="119" t="s">
        <v>225</v>
      </c>
      <c r="AA38" s="106">
        <v>534</v>
      </c>
      <c r="AB38" s="119" t="s">
        <v>225</v>
      </c>
      <c r="AC38" s="106">
        <v>28900</v>
      </c>
      <c r="AD38" s="119" t="s">
        <v>225</v>
      </c>
      <c r="AE38" s="118">
        <v>54.06</v>
      </c>
      <c r="AF38" s="25" t="s">
        <v>225</v>
      </c>
    </row>
    <row r="39" spans="1:32" ht="11.25" customHeight="1">
      <c r="A39" s="52" t="s">
        <v>170</v>
      </c>
      <c r="B39" s="128"/>
      <c r="C39" s="121" t="s">
        <v>34</v>
      </c>
      <c r="D39" s="121"/>
      <c r="E39" s="121" t="s">
        <v>34</v>
      </c>
      <c r="F39" s="103"/>
      <c r="G39" s="72" t="s">
        <v>34</v>
      </c>
      <c r="H39" s="103"/>
      <c r="I39" s="106">
        <v>50</v>
      </c>
      <c r="J39" s="109"/>
      <c r="K39" s="106">
        <v>2400</v>
      </c>
      <c r="L39" s="103"/>
      <c r="M39" s="116">
        <v>47.94</v>
      </c>
      <c r="N39" s="103"/>
      <c r="O39" s="106">
        <v>14</v>
      </c>
      <c r="P39" s="119" t="s">
        <v>225</v>
      </c>
      <c r="Q39" s="106">
        <v>605</v>
      </c>
      <c r="R39" s="119" t="s">
        <v>225</v>
      </c>
      <c r="S39" s="13">
        <v>43.21</v>
      </c>
      <c r="T39" s="240" t="s">
        <v>225</v>
      </c>
      <c r="U39" s="120" t="s">
        <v>34</v>
      </c>
      <c r="V39" s="103"/>
      <c r="W39" s="120" t="s">
        <v>34</v>
      </c>
      <c r="X39" s="103"/>
      <c r="Y39" s="116">
        <v>64.86</v>
      </c>
      <c r="Z39" s="103"/>
      <c r="AA39" s="106">
        <v>81</v>
      </c>
      <c r="AB39" s="103"/>
      <c r="AC39" s="106">
        <v>3890</v>
      </c>
      <c r="AD39" s="103"/>
      <c r="AE39" s="118">
        <v>48</v>
      </c>
      <c r="AF39" s="25" t="s">
        <v>225</v>
      </c>
    </row>
    <row r="40" spans="1:32" ht="11.25" customHeight="1">
      <c r="A40" s="52" t="s">
        <v>171</v>
      </c>
      <c r="B40" s="128"/>
      <c r="C40" s="120" t="s">
        <v>34</v>
      </c>
      <c r="D40" s="114"/>
      <c r="E40" s="120" t="s">
        <v>34</v>
      </c>
      <c r="F40" s="103"/>
      <c r="G40" s="72" t="s">
        <v>34</v>
      </c>
      <c r="H40" s="103"/>
      <c r="I40" s="120" t="s">
        <v>34</v>
      </c>
      <c r="J40" s="109"/>
      <c r="K40" s="120" t="s">
        <v>34</v>
      </c>
      <c r="L40" s="103"/>
      <c r="M40" s="116">
        <v>65.8</v>
      </c>
      <c r="N40" s="103"/>
      <c r="O40" s="106">
        <v>272</v>
      </c>
      <c r="P40" s="103"/>
      <c r="Q40" s="106">
        <v>13000</v>
      </c>
      <c r="R40" s="103"/>
      <c r="S40" s="116">
        <v>47.73</v>
      </c>
      <c r="T40" s="128"/>
      <c r="U40" s="106">
        <v>54</v>
      </c>
      <c r="V40" s="112"/>
      <c r="W40" s="106">
        <v>2810</v>
      </c>
      <c r="X40" s="103"/>
      <c r="Y40" s="116">
        <v>51.96</v>
      </c>
      <c r="Z40" s="103"/>
      <c r="AA40" s="106">
        <v>405</v>
      </c>
      <c r="AB40" s="103"/>
      <c r="AC40" s="106">
        <v>18300</v>
      </c>
      <c r="AD40" s="103"/>
      <c r="AE40" s="118">
        <v>45.27</v>
      </c>
      <c r="AF40" s="25"/>
    </row>
    <row r="41" spans="1:32" ht="11.25" customHeight="1">
      <c r="A41" s="52" t="s">
        <v>226</v>
      </c>
      <c r="B41" s="128"/>
      <c r="C41" s="121" t="s">
        <v>34</v>
      </c>
      <c r="D41" s="8"/>
      <c r="E41" s="37" t="s">
        <v>34</v>
      </c>
      <c r="F41" s="8"/>
      <c r="G41" s="37" t="s">
        <v>34</v>
      </c>
      <c r="H41" s="8"/>
      <c r="I41" s="106">
        <v>204</v>
      </c>
      <c r="J41" s="67"/>
      <c r="K41" s="106">
        <v>8640</v>
      </c>
      <c r="L41" s="8"/>
      <c r="M41" s="13">
        <v>42.36</v>
      </c>
      <c r="N41" s="8"/>
      <c r="O41" s="106">
        <v>393</v>
      </c>
      <c r="P41" s="8"/>
      <c r="Q41" s="106">
        <v>11400</v>
      </c>
      <c r="R41" s="14"/>
      <c r="S41" s="13">
        <v>28.93</v>
      </c>
      <c r="T41" s="128"/>
      <c r="U41" s="120" t="s">
        <v>34</v>
      </c>
      <c r="V41" s="8"/>
      <c r="W41" s="120" t="s">
        <v>34</v>
      </c>
      <c r="X41" s="14"/>
      <c r="Y41" s="15">
        <v>34.520000000000003</v>
      </c>
      <c r="Z41" s="8"/>
      <c r="AA41" s="115">
        <v>795</v>
      </c>
      <c r="AB41" s="8"/>
      <c r="AC41" s="115">
        <v>22700</v>
      </c>
      <c r="AD41" s="8"/>
      <c r="AE41" s="118">
        <v>28.51</v>
      </c>
      <c r="AF41" s="25"/>
    </row>
    <row r="42" spans="1:32" ht="11.25" customHeight="1">
      <c r="A42" s="52" t="s">
        <v>172</v>
      </c>
      <c r="B42" s="128"/>
      <c r="C42" s="117" t="s">
        <v>34</v>
      </c>
      <c r="D42" s="106"/>
      <c r="E42" s="117" t="s">
        <v>34</v>
      </c>
      <c r="F42" s="103"/>
      <c r="G42" s="72" t="s">
        <v>34</v>
      </c>
      <c r="H42" s="103"/>
      <c r="I42" s="106">
        <v>575</v>
      </c>
      <c r="J42" s="237" t="s">
        <v>225</v>
      </c>
      <c r="K42" s="106">
        <v>38500</v>
      </c>
      <c r="L42" s="119" t="s">
        <v>225</v>
      </c>
      <c r="M42" s="13">
        <v>66.91</v>
      </c>
      <c r="N42" s="119" t="s">
        <v>225</v>
      </c>
      <c r="O42" s="106">
        <v>1400</v>
      </c>
      <c r="P42" s="119" t="s">
        <v>225</v>
      </c>
      <c r="Q42" s="106">
        <v>45600</v>
      </c>
      <c r="R42" s="119" t="s">
        <v>225</v>
      </c>
      <c r="S42" s="13">
        <v>32.64</v>
      </c>
      <c r="T42" s="240" t="s">
        <v>225</v>
      </c>
      <c r="U42" s="120" t="s">
        <v>34</v>
      </c>
      <c r="V42" s="120"/>
      <c r="W42" s="120" t="s">
        <v>34</v>
      </c>
      <c r="X42" s="103"/>
      <c r="Y42" s="116">
        <v>55.5</v>
      </c>
      <c r="Z42" s="119" t="s">
        <v>225</v>
      </c>
      <c r="AA42" s="115">
        <v>2380</v>
      </c>
      <c r="AB42" s="133" t="s">
        <v>225</v>
      </c>
      <c r="AC42" s="115">
        <v>106000</v>
      </c>
      <c r="AD42" s="103" t="s">
        <v>225</v>
      </c>
      <c r="AE42" s="118">
        <v>44.55</v>
      </c>
      <c r="AF42" s="25" t="s">
        <v>225</v>
      </c>
    </row>
    <row r="43" spans="1:32" ht="11.25" customHeight="1">
      <c r="A43" s="60" t="s">
        <v>173</v>
      </c>
      <c r="B43" s="128"/>
      <c r="C43" s="134">
        <v>1550</v>
      </c>
      <c r="D43" s="134"/>
      <c r="E43" s="134">
        <v>62100</v>
      </c>
      <c r="F43" s="134"/>
      <c r="G43" s="38">
        <v>40.11</v>
      </c>
      <c r="H43" s="134"/>
      <c r="I43" s="134">
        <v>30200</v>
      </c>
      <c r="J43" s="150" t="s">
        <v>225</v>
      </c>
      <c r="K43" s="134">
        <v>1450000</v>
      </c>
      <c r="L43" s="150" t="s">
        <v>225</v>
      </c>
      <c r="M43" s="38">
        <v>48.04</v>
      </c>
      <c r="N43" s="150" t="s">
        <v>225</v>
      </c>
      <c r="O43" s="134">
        <v>56400</v>
      </c>
      <c r="P43" s="150" t="s">
        <v>225</v>
      </c>
      <c r="Q43" s="134">
        <v>2060000</v>
      </c>
      <c r="R43" s="150" t="s">
        <v>225</v>
      </c>
      <c r="S43" s="38">
        <v>36.61</v>
      </c>
      <c r="T43" s="159" t="s">
        <v>225</v>
      </c>
      <c r="U43" s="134">
        <v>2690</v>
      </c>
      <c r="V43" s="150" t="s">
        <v>225</v>
      </c>
      <c r="W43" s="134">
        <v>128000</v>
      </c>
      <c r="X43" s="142" t="s">
        <v>225</v>
      </c>
      <c r="Y43" s="38">
        <v>47.61</v>
      </c>
      <c r="Z43" s="142" t="s">
        <v>225</v>
      </c>
      <c r="AA43" s="134">
        <v>90800</v>
      </c>
      <c r="AB43" s="150" t="s">
        <v>225</v>
      </c>
      <c r="AC43" s="134">
        <v>3700000</v>
      </c>
      <c r="AD43" s="150" t="s">
        <v>225</v>
      </c>
      <c r="AE43" s="137">
        <v>40.79</v>
      </c>
      <c r="AF43" s="42" t="s">
        <v>225</v>
      </c>
    </row>
    <row r="44" spans="1:32" ht="11.25" customHeight="1">
      <c r="A44" s="50" t="s">
        <v>174</v>
      </c>
      <c r="B44" s="128"/>
      <c r="C44" s="106"/>
      <c r="D44" s="109"/>
      <c r="E44" s="106"/>
      <c r="F44" s="103"/>
      <c r="G44" s="116"/>
      <c r="H44" s="103"/>
      <c r="I44" s="106"/>
      <c r="J44" s="109"/>
      <c r="K44" s="106"/>
      <c r="L44" s="103"/>
      <c r="M44" s="116"/>
      <c r="N44" s="103"/>
      <c r="O44" s="106"/>
      <c r="P44" s="103"/>
      <c r="Q44" s="106"/>
      <c r="R44" s="103"/>
      <c r="S44" s="116"/>
      <c r="T44" s="128"/>
      <c r="U44" s="106"/>
      <c r="V44" s="103"/>
      <c r="W44" s="106"/>
      <c r="X44" s="103"/>
      <c r="Y44" s="116"/>
      <c r="Z44" s="103"/>
      <c r="AA44" s="106"/>
      <c r="AB44" s="103"/>
      <c r="AC44" s="106"/>
      <c r="AD44" s="103"/>
      <c r="AE44" s="116"/>
      <c r="AF44" s="25"/>
    </row>
    <row r="45" spans="1:32" ht="11.25" customHeight="1">
      <c r="A45" s="52" t="s">
        <v>175</v>
      </c>
      <c r="B45" s="128"/>
      <c r="C45" s="121" t="s">
        <v>47</v>
      </c>
      <c r="D45" s="109"/>
      <c r="E45" s="121" t="s">
        <v>47</v>
      </c>
      <c r="F45" s="103"/>
      <c r="G45" s="121" t="s">
        <v>47</v>
      </c>
      <c r="H45" s="103"/>
      <c r="I45" s="121" t="s">
        <v>34</v>
      </c>
      <c r="J45" s="109"/>
      <c r="K45" s="121" t="s">
        <v>34</v>
      </c>
      <c r="L45" s="103"/>
      <c r="M45" s="121" t="s">
        <v>34</v>
      </c>
      <c r="N45" s="103"/>
      <c r="O45" s="121" t="s">
        <v>34</v>
      </c>
      <c r="P45" s="119"/>
      <c r="Q45" s="121" t="s">
        <v>34</v>
      </c>
      <c r="R45" s="119"/>
      <c r="S45" s="13">
        <v>44.04</v>
      </c>
      <c r="T45" s="240" t="s">
        <v>225</v>
      </c>
      <c r="U45" s="121" t="s">
        <v>47</v>
      </c>
      <c r="V45" s="103"/>
      <c r="W45" s="121" t="s">
        <v>47</v>
      </c>
      <c r="X45" s="103"/>
      <c r="Y45" s="121" t="s">
        <v>47</v>
      </c>
      <c r="Z45" s="103"/>
      <c r="AA45" s="115">
        <v>258</v>
      </c>
      <c r="AB45" s="119" t="s">
        <v>225</v>
      </c>
      <c r="AC45" s="115">
        <v>11300</v>
      </c>
      <c r="AD45" s="119" t="s">
        <v>225</v>
      </c>
      <c r="AE45" s="116">
        <v>43.91</v>
      </c>
      <c r="AF45" s="25" t="s">
        <v>225</v>
      </c>
    </row>
    <row r="46" spans="1:32" ht="11.25" customHeight="1">
      <c r="A46" s="52" t="s">
        <v>176</v>
      </c>
      <c r="B46" s="128"/>
      <c r="C46" s="121" t="s">
        <v>34</v>
      </c>
      <c r="D46" s="107"/>
      <c r="E46" s="121" t="s">
        <v>34</v>
      </c>
      <c r="F46" s="103"/>
      <c r="G46" s="13">
        <v>22.82</v>
      </c>
      <c r="H46" s="103"/>
      <c r="I46" s="106">
        <v>64</v>
      </c>
      <c r="J46" s="109"/>
      <c r="K46" s="106">
        <v>5410</v>
      </c>
      <c r="L46" s="103"/>
      <c r="M46" s="116">
        <v>84.47</v>
      </c>
      <c r="N46" s="103"/>
      <c r="O46" s="121" t="s">
        <v>34</v>
      </c>
      <c r="P46" s="119"/>
      <c r="Q46" s="121" t="s">
        <v>34</v>
      </c>
      <c r="R46" s="103"/>
      <c r="S46" s="13">
        <v>136.56</v>
      </c>
      <c r="T46" s="128"/>
      <c r="U46" s="121" t="s">
        <v>47</v>
      </c>
      <c r="V46" s="103"/>
      <c r="W46" s="121" t="s">
        <v>47</v>
      </c>
      <c r="X46" s="103"/>
      <c r="Y46" s="121" t="s">
        <v>47</v>
      </c>
      <c r="Z46" s="103"/>
      <c r="AA46" s="115">
        <v>91</v>
      </c>
      <c r="AB46" s="119" t="s">
        <v>225</v>
      </c>
      <c r="AC46" s="115">
        <v>7020</v>
      </c>
      <c r="AD46" s="119" t="s">
        <v>225</v>
      </c>
      <c r="AE46" s="116">
        <v>77.180000000000007</v>
      </c>
      <c r="AF46" s="25" t="s">
        <v>225</v>
      </c>
    </row>
    <row r="47" spans="1:32" ht="11.25" customHeight="1">
      <c r="A47" s="52" t="s">
        <v>69</v>
      </c>
      <c r="B47" s="128"/>
      <c r="C47" s="121" t="s">
        <v>34</v>
      </c>
      <c r="D47" s="109"/>
      <c r="E47" s="121" t="s">
        <v>34</v>
      </c>
      <c r="F47" s="103"/>
      <c r="G47" s="68">
        <v>13.75</v>
      </c>
      <c r="H47" s="103"/>
      <c r="I47" s="117" t="s">
        <v>34</v>
      </c>
      <c r="J47" s="109"/>
      <c r="K47" s="117" t="s">
        <v>34</v>
      </c>
      <c r="L47" s="103"/>
      <c r="M47" s="13">
        <v>25.38</v>
      </c>
      <c r="N47" s="103"/>
      <c r="O47" s="106">
        <v>6</v>
      </c>
      <c r="P47" s="103"/>
      <c r="Q47" s="106">
        <v>162</v>
      </c>
      <c r="R47" s="103"/>
      <c r="S47" s="13">
        <v>27</v>
      </c>
      <c r="T47" s="128"/>
      <c r="U47" s="113" t="s">
        <v>34</v>
      </c>
      <c r="V47" s="103"/>
      <c r="W47" s="117" t="s">
        <v>34</v>
      </c>
      <c r="X47" s="103"/>
      <c r="Y47" s="124">
        <v>30.19</v>
      </c>
      <c r="Z47" s="103"/>
      <c r="AA47" s="115">
        <v>91</v>
      </c>
      <c r="AB47" s="119" t="s">
        <v>225</v>
      </c>
      <c r="AC47" s="115">
        <v>2460</v>
      </c>
      <c r="AD47" s="161" t="s">
        <v>225</v>
      </c>
      <c r="AE47" s="139">
        <v>26.99</v>
      </c>
      <c r="AF47" s="25" t="s">
        <v>225</v>
      </c>
    </row>
    <row r="48" spans="1:32" ht="11.25" customHeight="1">
      <c r="A48" s="60" t="s">
        <v>173</v>
      </c>
      <c r="B48" s="128"/>
      <c r="C48" s="141" t="s">
        <v>34</v>
      </c>
      <c r="D48" s="158"/>
      <c r="E48" s="141" t="s">
        <v>34</v>
      </c>
      <c r="F48" s="136"/>
      <c r="G48" s="38">
        <v>19.920000000000002</v>
      </c>
      <c r="H48" s="136"/>
      <c r="I48" s="134">
        <v>95</v>
      </c>
      <c r="J48" s="140"/>
      <c r="K48" s="134">
        <v>6200</v>
      </c>
      <c r="L48" s="136"/>
      <c r="M48" s="38">
        <v>65.209999999999994</v>
      </c>
      <c r="N48" s="136"/>
      <c r="O48" s="141" t="s">
        <v>34</v>
      </c>
      <c r="P48" s="142"/>
      <c r="Q48" s="141" t="s">
        <v>34</v>
      </c>
      <c r="R48" s="136"/>
      <c r="S48" s="38">
        <v>45.85</v>
      </c>
      <c r="T48" s="135"/>
      <c r="U48" s="141" t="s">
        <v>34</v>
      </c>
      <c r="V48" s="142"/>
      <c r="W48" s="141" t="s">
        <v>34</v>
      </c>
      <c r="X48" s="136"/>
      <c r="Y48" s="143">
        <v>30.19</v>
      </c>
      <c r="Z48" s="136"/>
      <c r="AA48" s="134">
        <v>440</v>
      </c>
      <c r="AB48" s="150" t="s">
        <v>225</v>
      </c>
      <c r="AC48" s="134">
        <v>20800</v>
      </c>
      <c r="AD48" s="119" t="s">
        <v>225</v>
      </c>
      <c r="AE48" s="116">
        <v>47.4</v>
      </c>
      <c r="AF48" s="25" t="s">
        <v>225</v>
      </c>
    </row>
    <row r="49" spans="1:32" ht="11.25" customHeight="1">
      <c r="A49" s="52" t="s">
        <v>177</v>
      </c>
      <c r="B49" s="144"/>
      <c r="C49" s="145">
        <v>1570</v>
      </c>
      <c r="D49" s="145"/>
      <c r="E49" s="145">
        <v>62600</v>
      </c>
      <c r="F49" s="145"/>
      <c r="G49" s="146">
        <v>39.79</v>
      </c>
      <c r="H49" s="145"/>
      <c r="I49" s="145">
        <v>30300</v>
      </c>
      <c r="J49" s="157" t="s">
        <v>225</v>
      </c>
      <c r="K49" s="145">
        <v>1460000</v>
      </c>
      <c r="L49" s="157" t="s">
        <v>225</v>
      </c>
      <c r="M49" s="146">
        <v>48.09</v>
      </c>
      <c r="N49" s="157" t="s">
        <v>225</v>
      </c>
      <c r="O49" s="145">
        <v>56700</v>
      </c>
      <c r="P49" s="157" t="s">
        <v>225</v>
      </c>
      <c r="Q49" s="145">
        <v>2080000</v>
      </c>
      <c r="R49" s="157" t="s">
        <v>225</v>
      </c>
      <c r="S49" s="146">
        <v>36.659999999999997</v>
      </c>
      <c r="T49" s="160" t="s">
        <v>225</v>
      </c>
      <c r="U49" s="145">
        <v>2730</v>
      </c>
      <c r="V49" s="161" t="s">
        <v>225</v>
      </c>
      <c r="W49" s="145">
        <v>129000</v>
      </c>
      <c r="X49" s="161" t="s">
        <v>225</v>
      </c>
      <c r="Y49" s="146">
        <v>47.31</v>
      </c>
      <c r="Z49" s="161" t="s">
        <v>225</v>
      </c>
      <c r="AA49" s="145">
        <v>91200</v>
      </c>
      <c r="AB49" s="161" t="s">
        <v>225</v>
      </c>
      <c r="AC49" s="145">
        <v>3720000</v>
      </c>
      <c r="AD49" s="162" t="s">
        <v>225</v>
      </c>
      <c r="AE49" s="146">
        <v>40.83</v>
      </c>
      <c r="AF49" s="170" t="s">
        <v>225</v>
      </c>
    </row>
    <row r="50" spans="1:32" ht="11.25" customHeight="1">
      <c r="A50" s="295" t="s">
        <v>293</v>
      </c>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67"/>
    </row>
    <row r="51" spans="1:32" ht="11.25" customHeight="1">
      <c r="A51" s="295" t="s">
        <v>289</v>
      </c>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c r="AF51" s="267"/>
    </row>
    <row r="52" spans="1:32" ht="11.25" customHeight="1">
      <c r="A52" s="268" t="s">
        <v>213</v>
      </c>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7"/>
    </row>
    <row r="53" spans="1:32" ht="11.25" customHeight="1">
      <c r="A53" s="268" t="s">
        <v>294</v>
      </c>
      <c r="B53" s="268"/>
      <c r="C53" s="268"/>
      <c r="D53" s="268"/>
      <c r="E53" s="268"/>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row>
  </sheetData>
  <mergeCells count="12">
    <mergeCell ref="A50:AF50"/>
    <mergeCell ref="A51:AF51"/>
    <mergeCell ref="A52:AF52"/>
    <mergeCell ref="A53:AE53"/>
    <mergeCell ref="A1:AF1"/>
    <mergeCell ref="A2:AF2"/>
    <mergeCell ref="A3:AF3"/>
    <mergeCell ref="C4:G4"/>
    <mergeCell ref="I4:M4"/>
    <mergeCell ref="O4:S4"/>
    <mergeCell ref="U4:Y4"/>
    <mergeCell ref="AA4:AE4"/>
  </mergeCells>
  <pageMargins left="0.5" right="0.5" top="0.5" bottom="0.5" header="0.3" footer="0.3"/>
  <pageSetup scale="8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A83D-B1B0-41B5-AA34-925159A2359E}">
  <dimension ref="A1:AE53"/>
  <sheetViews>
    <sheetView zoomScaleNormal="100" workbookViewId="0">
      <selection sqref="A1:AE1"/>
    </sheetView>
  </sheetViews>
  <sheetFormatPr defaultColWidth="9.33203125" defaultRowHeight="11.25" customHeight="1"/>
  <cols>
    <col min="1" max="1" width="33.33203125" style="1" customWidth="1"/>
    <col min="2" max="2" width="1" style="1" customWidth="1"/>
    <col min="3" max="3" width="7.33203125" style="1" bestFit="1" customWidth="1"/>
    <col min="4" max="4" width="0.6640625" style="1" customWidth="1"/>
    <col min="5" max="5" width="7.6640625" style="1" customWidth="1"/>
    <col min="6" max="6" width="0.6640625" style="1" customWidth="1"/>
    <col min="7" max="7" width="7.33203125" style="1" customWidth="1"/>
    <col min="8" max="8" width="0.5" style="1" customWidth="1"/>
    <col min="9" max="9" width="8" style="1" customWidth="1"/>
    <col min="10" max="10" width="1" style="1" customWidth="1"/>
    <col min="11" max="11" width="11.5" style="1" bestFit="1" customWidth="1"/>
    <col min="12" max="12" width="0.6640625" style="1" customWidth="1"/>
    <col min="13" max="13" width="7.5" style="1" bestFit="1" customWidth="1"/>
    <col min="14" max="14" width="0.6640625" style="1" customWidth="1"/>
    <col min="15" max="15" width="8.6640625" style="1" bestFit="1" customWidth="1"/>
    <col min="16" max="16" width="0.6640625" style="1" customWidth="1"/>
    <col min="17" max="17" width="9.6640625" style="1" bestFit="1" customWidth="1"/>
    <col min="18" max="18" width="0.6640625" style="1" customWidth="1"/>
    <col min="19" max="19" width="6.6640625" style="1" customWidth="1"/>
    <col min="20" max="20" width="1" style="1" customWidth="1"/>
    <col min="21" max="21" width="7.33203125" style="1" bestFit="1" customWidth="1"/>
    <col min="22" max="22" width="0.6640625" style="1" customWidth="1"/>
    <col min="23" max="23" width="7.5" style="1" customWidth="1"/>
    <col min="24" max="24" width="0.6640625" style="1" customWidth="1"/>
    <col min="25" max="25" width="6.33203125" style="1" customWidth="1"/>
    <col min="26" max="26" width="0.6640625" style="1" customWidth="1"/>
    <col min="27" max="27" width="8.6640625" style="1" bestFit="1" customWidth="1"/>
    <col min="28" max="28" width="0.6640625" style="1" customWidth="1"/>
    <col min="29" max="29" width="9.6640625" style="1" bestFit="1" customWidth="1"/>
    <col min="30" max="30" width="1" style="1" customWidth="1"/>
    <col min="31" max="31" width="7.5" style="1" bestFit="1" customWidth="1"/>
    <col min="32" max="16384" width="9.33203125" style="1"/>
  </cols>
  <sheetData>
    <row r="1" spans="1:31" ht="11.25" customHeight="1">
      <c r="A1" s="296" t="s">
        <v>274</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row>
    <row r="2" spans="1:31" ht="11.25" customHeight="1">
      <c r="A2" s="296" t="s">
        <v>385</v>
      </c>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row>
    <row r="3" spans="1:31" ht="11.25" customHeight="1">
      <c r="A3" s="297"/>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row>
    <row r="4" spans="1:31" ht="11.25" customHeight="1">
      <c r="A4" s="44"/>
      <c r="B4" s="44"/>
      <c r="C4" s="300" t="s">
        <v>238</v>
      </c>
      <c r="D4" s="300"/>
      <c r="E4" s="300"/>
      <c r="F4" s="300"/>
      <c r="G4" s="300"/>
      <c r="H4" s="45"/>
      <c r="I4" s="300" t="s">
        <v>235</v>
      </c>
      <c r="J4" s="300"/>
      <c r="K4" s="300"/>
      <c r="L4" s="300"/>
      <c r="M4" s="300"/>
      <c r="N4" s="45"/>
      <c r="O4" s="300" t="s">
        <v>236</v>
      </c>
      <c r="P4" s="300"/>
      <c r="Q4" s="300"/>
      <c r="R4" s="300"/>
      <c r="S4" s="300"/>
      <c r="T4" s="44"/>
      <c r="U4" s="301" t="s">
        <v>237</v>
      </c>
      <c r="V4" s="302"/>
      <c r="W4" s="302"/>
      <c r="X4" s="302"/>
      <c r="Y4" s="302"/>
      <c r="Z4" s="45"/>
      <c r="AA4" s="301" t="s">
        <v>178</v>
      </c>
      <c r="AB4" s="283"/>
      <c r="AC4" s="283"/>
      <c r="AD4" s="283"/>
      <c r="AE4" s="283"/>
    </row>
    <row r="5" spans="1:31" ht="11.25" customHeight="1">
      <c r="A5" s="53"/>
      <c r="B5" s="53"/>
      <c r="C5" s="47"/>
      <c r="D5" s="47"/>
      <c r="E5" s="47"/>
      <c r="F5" s="47"/>
      <c r="G5" s="238" t="s">
        <v>145</v>
      </c>
      <c r="H5" s="103"/>
      <c r="I5" s="47"/>
      <c r="J5" s="47"/>
      <c r="K5" s="47"/>
      <c r="L5" s="47"/>
      <c r="M5" s="238" t="s">
        <v>145</v>
      </c>
      <c r="N5" s="103"/>
      <c r="O5" s="47"/>
      <c r="P5" s="47"/>
      <c r="Q5" s="47"/>
      <c r="R5" s="47"/>
      <c r="S5" s="238" t="s">
        <v>145</v>
      </c>
      <c r="T5" s="53"/>
      <c r="U5" s="47"/>
      <c r="V5" s="47"/>
      <c r="W5" s="47"/>
      <c r="X5" s="47"/>
      <c r="Y5" s="238" t="s">
        <v>145</v>
      </c>
      <c r="Z5" s="103"/>
      <c r="AA5" s="47"/>
      <c r="AB5" s="47"/>
      <c r="AC5" s="47"/>
      <c r="AD5" s="47"/>
      <c r="AE5" s="238" t="s">
        <v>145</v>
      </c>
    </row>
    <row r="6" spans="1:31" ht="11.25" customHeight="1">
      <c r="A6" s="46"/>
      <c r="B6" s="46"/>
      <c r="C6" s="238" t="s">
        <v>9</v>
      </c>
      <c r="D6" s="49"/>
      <c r="E6" s="238"/>
      <c r="F6" s="49"/>
      <c r="G6" s="238" t="s">
        <v>186</v>
      </c>
      <c r="H6" s="104"/>
      <c r="I6" s="238" t="s">
        <v>9</v>
      </c>
      <c r="J6" s="49"/>
      <c r="K6" s="238"/>
      <c r="L6" s="49"/>
      <c r="M6" s="238" t="s">
        <v>186</v>
      </c>
      <c r="N6" s="104"/>
      <c r="O6" s="238" t="s">
        <v>9</v>
      </c>
      <c r="P6" s="49"/>
      <c r="Q6" s="238"/>
      <c r="R6" s="49"/>
      <c r="S6" s="238" t="s">
        <v>186</v>
      </c>
      <c r="T6" s="46"/>
      <c r="U6" s="238" t="s">
        <v>9</v>
      </c>
      <c r="V6" s="49"/>
      <c r="W6" s="238"/>
      <c r="X6" s="49"/>
      <c r="Y6" s="238" t="s">
        <v>186</v>
      </c>
      <c r="Z6" s="104"/>
      <c r="AA6" s="238" t="s">
        <v>9</v>
      </c>
      <c r="AB6" s="49"/>
      <c r="AC6" s="238"/>
      <c r="AD6" s="49"/>
      <c r="AE6" s="238" t="s">
        <v>186</v>
      </c>
    </row>
    <row r="7" spans="1:31" ht="11.25" customHeight="1">
      <c r="A7" s="46"/>
      <c r="B7" s="46"/>
      <c r="C7" s="238" t="s">
        <v>12</v>
      </c>
      <c r="D7" s="49"/>
      <c r="E7" s="238" t="s">
        <v>10</v>
      </c>
      <c r="F7" s="49"/>
      <c r="G7" s="238" t="s">
        <v>146</v>
      </c>
      <c r="H7" s="104"/>
      <c r="I7" s="238" t="s">
        <v>12</v>
      </c>
      <c r="J7" s="49"/>
      <c r="K7" s="238" t="s">
        <v>10</v>
      </c>
      <c r="L7" s="49"/>
      <c r="M7" s="238" t="s">
        <v>146</v>
      </c>
      <c r="N7" s="104"/>
      <c r="O7" s="238" t="s">
        <v>12</v>
      </c>
      <c r="P7" s="49"/>
      <c r="Q7" s="238" t="s">
        <v>10</v>
      </c>
      <c r="R7" s="49"/>
      <c r="S7" s="238" t="s">
        <v>146</v>
      </c>
      <c r="T7" s="46"/>
      <c r="U7" s="238" t="s">
        <v>12</v>
      </c>
      <c r="V7" s="49"/>
      <c r="W7" s="238" t="s">
        <v>10</v>
      </c>
      <c r="X7" s="49"/>
      <c r="Y7" s="238" t="s">
        <v>146</v>
      </c>
      <c r="Z7" s="104"/>
      <c r="AA7" s="238" t="s">
        <v>12</v>
      </c>
      <c r="AB7" s="49"/>
      <c r="AC7" s="238" t="s">
        <v>10</v>
      </c>
      <c r="AD7" s="49"/>
      <c r="AE7" s="238" t="s">
        <v>146</v>
      </c>
    </row>
    <row r="8" spans="1:31" ht="11.25" customHeight="1">
      <c r="A8" s="46"/>
      <c r="B8" s="46"/>
      <c r="C8" s="238" t="s">
        <v>190</v>
      </c>
      <c r="D8" s="49"/>
      <c r="E8" s="238" t="s">
        <v>195</v>
      </c>
      <c r="F8" s="49"/>
      <c r="G8" s="238" t="s">
        <v>192</v>
      </c>
      <c r="H8" s="104"/>
      <c r="I8" s="238" t="s">
        <v>190</v>
      </c>
      <c r="J8" s="49"/>
      <c r="K8" s="238" t="s">
        <v>195</v>
      </c>
      <c r="L8" s="49"/>
      <c r="M8" s="238" t="s">
        <v>192</v>
      </c>
      <c r="N8" s="104"/>
      <c r="O8" s="238" t="s">
        <v>190</v>
      </c>
      <c r="P8" s="49"/>
      <c r="Q8" s="238" t="s">
        <v>195</v>
      </c>
      <c r="R8" s="49"/>
      <c r="S8" s="238" t="s">
        <v>192</v>
      </c>
      <c r="T8" s="46"/>
      <c r="U8" s="238" t="s">
        <v>190</v>
      </c>
      <c r="V8" s="49"/>
      <c r="W8" s="238" t="s">
        <v>195</v>
      </c>
      <c r="X8" s="49"/>
      <c r="Y8" s="238" t="s">
        <v>192</v>
      </c>
      <c r="Z8" s="104"/>
      <c r="AA8" s="238" t="s">
        <v>190</v>
      </c>
      <c r="AB8" s="49"/>
      <c r="AC8" s="238" t="s">
        <v>195</v>
      </c>
      <c r="AD8" s="49"/>
      <c r="AE8" s="238" t="s">
        <v>192</v>
      </c>
    </row>
    <row r="9" spans="1:31" ht="11.25" customHeight="1">
      <c r="A9" s="239" t="s">
        <v>147</v>
      </c>
      <c r="B9" s="75"/>
      <c r="C9" s="239" t="s">
        <v>191</v>
      </c>
      <c r="D9" s="76"/>
      <c r="E9" s="239" t="s">
        <v>194</v>
      </c>
      <c r="F9" s="76"/>
      <c r="G9" s="239" t="s">
        <v>193</v>
      </c>
      <c r="H9" s="105"/>
      <c r="I9" s="239" t="s">
        <v>191</v>
      </c>
      <c r="J9" s="76"/>
      <c r="K9" s="239" t="s">
        <v>194</v>
      </c>
      <c r="L9" s="76"/>
      <c r="M9" s="239" t="s">
        <v>193</v>
      </c>
      <c r="N9" s="105"/>
      <c r="O9" s="239" t="s">
        <v>191</v>
      </c>
      <c r="P9" s="76"/>
      <c r="Q9" s="239" t="s">
        <v>194</v>
      </c>
      <c r="R9" s="76"/>
      <c r="S9" s="239" t="s">
        <v>193</v>
      </c>
      <c r="T9" s="75"/>
      <c r="U9" s="239" t="s">
        <v>191</v>
      </c>
      <c r="V9" s="76"/>
      <c r="W9" s="239" t="s">
        <v>194</v>
      </c>
      <c r="X9" s="76"/>
      <c r="Y9" s="239" t="s">
        <v>193</v>
      </c>
      <c r="Z9" s="105"/>
      <c r="AA9" s="239" t="s">
        <v>191</v>
      </c>
      <c r="AB9" s="76"/>
      <c r="AC9" s="239" t="s">
        <v>194</v>
      </c>
      <c r="AD9" s="76"/>
      <c r="AE9" s="239" t="s">
        <v>193</v>
      </c>
    </row>
    <row r="10" spans="1:31" ht="11.25" customHeight="1">
      <c r="A10" s="50" t="s">
        <v>148</v>
      </c>
      <c r="B10" s="44"/>
      <c r="C10" s="51"/>
      <c r="D10" s="45"/>
      <c r="E10" s="51"/>
      <c r="F10" s="45"/>
      <c r="G10" s="51"/>
      <c r="H10" s="45"/>
      <c r="I10" s="51"/>
      <c r="J10" s="45"/>
      <c r="K10" s="51"/>
      <c r="L10" s="45"/>
      <c r="M10" s="51"/>
      <c r="N10" s="45"/>
      <c r="O10" s="51"/>
      <c r="P10" s="45"/>
      <c r="Q10" s="51"/>
      <c r="R10" s="45"/>
      <c r="S10" s="51"/>
      <c r="T10" s="44"/>
      <c r="U10" s="51"/>
      <c r="V10" s="45"/>
      <c r="W10" s="51"/>
      <c r="X10" s="45"/>
      <c r="Y10" s="51"/>
      <c r="Z10" s="45"/>
      <c r="AA10" s="51"/>
      <c r="AB10" s="45"/>
      <c r="AC10" s="51"/>
      <c r="AD10" s="45"/>
      <c r="AE10" s="51"/>
    </row>
    <row r="11" spans="1:31" ht="11.25" customHeight="1">
      <c r="A11" s="52" t="s">
        <v>149</v>
      </c>
      <c r="B11" s="53"/>
      <c r="C11" s="53"/>
      <c r="D11" s="53"/>
      <c r="E11" s="53"/>
      <c r="F11" s="53"/>
      <c r="G11" s="53"/>
      <c r="H11" s="103"/>
      <c r="I11" s="106"/>
      <c r="J11" s="103"/>
      <c r="K11" s="106"/>
      <c r="L11" s="103"/>
      <c r="M11" s="106"/>
      <c r="N11" s="103"/>
      <c r="O11" s="106"/>
      <c r="P11" s="103"/>
      <c r="Q11" s="106"/>
      <c r="R11" s="103"/>
      <c r="S11" s="106"/>
      <c r="T11" s="53"/>
      <c r="U11" s="106"/>
      <c r="V11" s="103"/>
      <c r="W11" s="106"/>
      <c r="X11" s="103"/>
      <c r="Y11" s="106"/>
      <c r="Z11" s="103"/>
      <c r="AA11" s="106"/>
      <c r="AB11" s="103"/>
      <c r="AC11" s="106"/>
      <c r="AD11" s="103"/>
      <c r="AE11" s="106"/>
    </row>
    <row r="12" spans="1:31" ht="11.25" customHeight="1">
      <c r="A12" s="60" t="s">
        <v>150</v>
      </c>
      <c r="B12" s="53"/>
      <c r="C12" s="54">
        <v>351</v>
      </c>
      <c r="D12" s="107"/>
      <c r="E12" s="108">
        <v>13800</v>
      </c>
      <c r="F12" s="103"/>
      <c r="G12" s="12">
        <v>39.21</v>
      </c>
      <c r="H12" s="103"/>
      <c r="I12" s="106">
        <v>1220</v>
      </c>
      <c r="J12" s="109"/>
      <c r="K12" s="110">
        <v>59700</v>
      </c>
      <c r="L12" s="103"/>
      <c r="M12" s="111">
        <v>48.76</v>
      </c>
      <c r="N12" s="103"/>
      <c r="O12" s="106">
        <v>1900</v>
      </c>
      <c r="P12" s="112"/>
      <c r="Q12" s="110">
        <v>97700</v>
      </c>
      <c r="R12" s="103"/>
      <c r="S12" s="111">
        <v>51.49</v>
      </c>
      <c r="T12" s="53"/>
      <c r="U12" s="106">
        <v>569</v>
      </c>
      <c r="V12" s="103"/>
      <c r="W12" s="110">
        <v>25100</v>
      </c>
      <c r="X12" s="103"/>
      <c r="Y12" s="111">
        <v>44.13</v>
      </c>
      <c r="Z12" s="103"/>
      <c r="AA12" s="106">
        <v>4040</v>
      </c>
      <c r="AB12" s="103"/>
      <c r="AC12" s="110">
        <v>196000</v>
      </c>
      <c r="AD12" s="103"/>
      <c r="AE12" s="111">
        <v>48.57</v>
      </c>
    </row>
    <row r="13" spans="1:31" ht="11.25" customHeight="1">
      <c r="A13" s="60" t="s">
        <v>151</v>
      </c>
      <c r="B13" s="53"/>
      <c r="C13" s="113" t="s">
        <v>34</v>
      </c>
      <c r="D13" s="114"/>
      <c r="E13" s="113" t="s">
        <v>34</v>
      </c>
      <c r="F13" s="103"/>
      <c r="G13" s="113" t="s">
        <v>34</v>
      </c>
      <c r="H13" s="103"/>
      <c r="I13" s="115">
        <v>1620</v>
      </c>
      <c r="J13" s="109"/>
      <c r="K13" s="115">
        <v>72900</v>
      </c>
      <c r="L13" s="103"/>
      <c r="M13" s="13">
        <v>45.03</v>
      </c>
      <c r="N13" s="103"/>
      <c r="O13" s="106">
        <v>1300</v>
      </c>
      <c r="P13" s="112"/>
      <c r="Q13" s="106">
        <v>65700</v>
      </c>
      <c r="R13" s="103"/>
      <c r="S13" s="116">
        <v>50.38</v>
      </c>
      <c r="T13" s="53"/>
      <c r="U13" s="117" t="s">
        <v>34</v>
      </c>
      <c r="V13" s="103"/>
      <c r="W13" s="117" t="s">
        <v>34</v>
      </c>
      <c r="X13" s="103"/>
      <c r="Y13" s="116">
        <v>37.65</v>
      </c>
      <c r="Z13" s="103"/>
      <c r="AA13" s="106">
        <v>3460</v>
      </c>
      <c r="AB13" s="103"/>
      <c r="AC13" s="106">
        <v>158000</v>
      </c>
      <c r="AD13" s="103"/>
      <c r="AE13" s="118">
        <v>45.6</v>
      </c>
    </row>
    <row r="14" spans="1:31" ht="11.25" customHeight="1">
      <c r="A14" s="60" t="s">
        <v>152</v>
      </c>
      <c r="B14" s="53"/>
      <c r="C14" s="113" t="s">
        <v>34</v>
      </c>
      <c r="D14" s="113"/>
      <c r="E14" s="113" t="s">
        <v>34</v>
      </c>
      <c r="F14" s="103"/>
      <c r="G14" s="113" t="s">
        <v>34</v>
      </c>
      <c r="H14" s="103"/>
      <c r="I14" s="115">
        <v>195</v>
      </c>
      <c r="J14" s="107"/>
      <c r="K14" s="115">
        <v>12600</v>
      </c>
      <c r="L14" s="103"/>
      <c r="M14" s="13">
        <v>64.81</v>
      </c>
      <c r="N14" s="103"/>
      <c r="O14" s="117" t="s">
        <v>34</v>
      </c>
      <c r="P14" s="119"/>
      <c r="Q14" s="117" t="s">
        <v>34</v>
      </c>
      <c r="R14" s="103"/>
      <c r="S14" s="13">
        <v>66.91</v>
      </c>
      <c r="T14" s="53"/>
      <c r="U14" s="120" t="s">
        <v>34</v>
      </c>
      <c r="V14" s="103"/>
      <c r="W14" s="120" t="s">
        <v>34</v>
      </c>
      <c r="X14" s="103"/>
      <c r="Y14" s="116">
        <v>60.28</v>
      </c>
      <c r="Z14" s="103"/>
      <c r="AA14" s="106">
        <v>410</v>
      </c>
      <c r="AB14" s="103"/>
      <c r="AC14" s="106">
        <v>26800</v>
      </c>
      <c r="AD14" s="103"/>
      <c r="AE14" s="118">
        <v>65.3</v>
      </c>
    </row>
    <row r="15" spans="1:31" ht="11.25" customHeight="1">
      <c r="A15" s="60" t="s">
        <v>153</v>
      </c>
      <c r="B15" s="53"/>
      <c r="C15" s="113" t="s">
        <v>34</v>
      </c>
      <c r="D15" s="109"/>
      <c r="E15" s="113" t="s">
        <v>34</v>
      </c>
      <c r="F15" s="103"/>
      <c r="G15" s="113" t="s">
        <v>34</v>
      </c>
      <c r="H15" s="103"/>
      <c r="I15" s="106">
        <v>74</v>
      </c>
      <c r="J15" s="107"/>
      <c r="K15" s="106">
        <v>2520</v>
      </c>
      <c r="L15" s="103"/>
      <c r="M15" s="116">
        <v>34.11</v>
      </c>
      <c r="N15" s="103"/>
      <c r="O15" s="106">
        <v>193</v>
      </c>
      <c r="P15" s="103"/>
      <c r="Q15" s="106">
        <v>12000</v>
      </c>
      <c r="R15" s="103"/>
      <c r="S15" s="116">
        <v>62.01</v>
      </c>
      <c r="T15" s="53"/>
      <c r="U15" s="121" t="s">
        <v>34</v>
      </c>
      <c r="V15" s="103"/>
      <c r="W15" s="121" t="s">
        <v>34</v>
      </c>
      <c r="X15" s="103"/>
      <c r="Y15" s="122">
        <v>74.819999999999993</v>
      </c>
      <c r="Z15" s="103"/>
      <c r="AA15" s="106">
        <v>300</v>
      </c>
      <c r="AB15" s="112"/>
      <c r="AC15" s="106">
        <v>17000</v>
      </c>
      <c r="AD15" s="103"/>
      <c r="AE15" s="118">
        <v>56.52</v>
      </c>
    </row>
    <row r="16" spans="1:31" ht="11.25" customHeight="1">
      <c r="A16" s="60" t="s">
        <v>154</v>
      </c>
      <c r="B16" s="53"/>
      <c r="C16" s="121" t="s">
        <v>47</v>
      </c>
      <c r="D16" s="109"/>
      <c r="E16" s="121" t="s">
        <v>47</v>
      </c>
      <c r="F16" s="103"/>
      <c r="G16" s="121" t="s">
        <v>47</v>
      </c>
      <c r="H16" s="103"/>
      <c r="I16" s="113" t="s">
        <v>34</v>
      </c>
      <c r="J16" s="109"/>
      <c r="K16" s="113" t="s">
        <v>34</v>
      </c>
      <c r="L16" s="103"/>
      <c r="M16" s="13">
        <v>83.77</v>
      </c>
      <c r="N16" s="103"/>
      <c r="O16" s="106">
        <v>422</v>
      </c>
      <c r="P16" s="112"/>
      <c r="Q16" s="106">
        <v>25900</v>
      </c>
      <c r="R16" s="103"/>
      <c r="S16" s="116">
        <v>61.29</v>
      </c>
      <c r="T16" s="53"/>
      <c r="U16" s="120" t="s">
        <v>34</v>
      </c>
      <c r="V16" s="103"/>
      <c r="W16" s="120" t="s">
        <v>34</v>
      </c>
      <c r="X16" s="103"/>
      <c r="Y16" s="117" t="s">
        <v>34</v>
      </c>
      <c r="Z16" s="103"/>
      <c r="AA16" s="106">
        <v>486</v>
      </c>
      <c r="AB16" s="103"/>
      <c r="AC16" s="106">
        <v>31100</v>
      </c>
      <c r="AD16" s="103"/>
      <c r="AE16" s="118">
        <v>63.91</v>
      </c>
    </row>
    <row r="17" spans="1:31" ht="11.25" customHeight="1">
      <c r="A17" s="52" t="s">
        <v>155</v>
      </c>
      <c r="B17" s="53"/>
      <c r="C17" s="121"/>
      <c r="D17" s="109"/>
      <c r="E17" s="123"/>
      <c r="F17" s="103"/>
      <c r="G17" s="124"/>
      <c r="H17" s="103"/>
      <c r="I17" s="106"/>
      <c r="J17" s="109"/>
      <c r="K17" s="106"/>
      <c r="L17" s="103"/>
      <c r="M17" s="116"/>
      <c r="N17" s="103"/>
      <c r="O17" s="106"/>
      <c r="P17" s="103"/>
      <c r="Q17" s="106"/>
      <c r="R17" s="103"/>
      <c r="S17" s="116"/>
      <c r="T17" s="53"/>
      <c r="U17" s="106"/>
      <c r="V17" s="103"/>
      <c r="W17" s="106"/>
      <c r="X17" s="103"/>
      <c r="Y17" s="116"/>
      <c r="Z17" s="103"/>
      <c r="AA17" s="106"/>
      <c r="AB17" s="103"/>
      <c r="AC17" s="106"/>
      <c r="AD17" s="103"/>
      <c r="AE17" s="118"/>
    </row>
    <row r="18" spans="1:31" ht="11.25" customHeight="1">
      <c r="A18" s="60" t="s">
        <v>156</v>
      </c>
      <c r="B18" s="53"/>
      <c r="C18" s="120" t="s">
        <v>34</v>
      </c>
      <c r="D18" s="107"/>
      <c r="E18" s="120" t="s">
        <v>34</v>
      </c>
      <c r="F18" s="103"/>
      <c r="G18" s="113" t="s">
        <v>34</v>
      </c>
      <c r="H18" s="103"/>
      <c r="I18" s="106">
        <v>1880</v>
      </c>
      <c r="J18" s="109"/>
      <c r="K18" s="106">
        <v>101000</v>
      </c>
      <c r="L18" s="103"/>
      <c r="M18" s="13">
        <v>53.58</v>
      </c>
      <c r="N18" s="103"/>
      <c r="O18" s="106">
        <v>350</v>
      </c>
      <c r="P18" s="103"/>
      <c r="Q18" s="106">
        <v>22600</v>
      </c>
      <c r="R18" s="103"/>
      <c r="S18" s="13">
        <v>64.59</v>
      </c>
      <c r="T18" s="53"/>
      <c r="U18" s="117" t="s">
        <v>34</v>
      </c>
      <c r="V18" s="103"/>
      <c r="W18" s="117" t="s">
        <v>34</v>
      </c>
      <c r="X18" s="103"/>
      <c r="Y18" s="116">
        <v>59</v>
      </c>
      <c r="Z18" s="103"/>
      <c r="AA18" s="106">
        <v>2310</v>
      </c>
      <c r="AB18" s="103"/>
      <c r="AC18" s="106">
        <v>127000</v>
      </c>
      <c r="AD18" s="103"/>
      <c r="AE18" s="118">
        <v>55.13</v>
      </c>
    </row>
    <row r="19" spans="1:31" ht="11.25" customHeight="1">
      <c r="A19" s="60" t="s">
        <v>157</v>
      </c>
      <c r="B19" s="53"/>
      <c r="C19" s="121" t="s">
        <v>47</v>
      </c>
      <c r="D19" s="109"/>
      <c r="E19" s="121" t="s">
        <v>47</v>
      </c>
      <c r="F19" s="103"/>
      <c r="G19" s="121" t="s">
        <v>47</v>
      </c>
      <c r="H19" s="103"/>
      <c r="I19" s="120" t="s">
        <v>34</v>
      </c>
      <c r="J19" s="109"/>
      <c r="K19" s="120" t="s">
        <v>34</v>
      </c>
      <c r="L19" s="103"/>
      <c r="M19" s="116">
        <v>58.79</v>
      </c>
      <c r="N19" s="103"/>
      <c r="O19" s="56" t="s">
        <v>179</v>
      </c>
      <c r="P19" s="112"/>
      <c r="Q19" s="115">
        <v>30</v>
      </c>
      <c r="R19" s="103"/>
      <c r="S19" s="125">
        <v>77.17</v>
      </c>
      <c r="T19" s="53"/>
      <c r="U19" s="121" t="s">
        <v>47</v>
      </c>
      <c r="V19" s="103"/>
      <c r="W19" s="121" t="s">
        <v>47</v>
      </c>
      <c r="X19" s="103"/>
      <c r="Y19" s="121" t="s">
        <v>47</v>
      </c>
      <c r="Z19" s="103"/>
      <c r="AA19" s="117" t="s">
        <v>34</v>
      </c>
      <c r="AB19" s="103"/>
      <c r="AC19" s="117" t="s">
        <v>34</v>
      </c>
      <c r="AD19" s="103"/>
      <c r="AE19" s="118">
        <v>58.73</v>
      </c>
    </row>
    <row r="20" spans="1:31" ht="11.25" customHeight="1">
      <c r="A20" s="60" t="s">
        <v>158</v>
      </c>
      <c r="B20" s="53"/>
      <c r="C20" s="123">
        <v>1</v>
      </c>
      <c r="D20" s="109"/>
      <c r="E20" s="123">
        <v>153</v>
      </c>
      <c r="F20" s="103"/>
      <c r="G20" s="122">
        <v>109.87</v>
      </c>
      <c r="H20" s="103"/>
      <c r="I20" s="115">
        <v>41</v>
      </c>
      <c r="J20" s="109"/>
      <c r="K20" s="115">
        <v>2030</v>
      </c>
      <c r="L20" s="103"/>
      <c r="M20" s="13">
        <v>49.54</v>
      </c>
      <c r="N20" s="103"/>
      <c r="O20" s="106">
        <v>85</v>
      </c>
      <c r="P20" s="103"/>
      <c r="Q20" s="106">
        <v>5110</v>
      </c>
      <c r="R20" s="103"/>
      <c r="S20" s="116">
        <v>60.07</v>
      </c>
      <c r="T20" s="53"/>
      <c r="U20" s="121" t="s">
        <v>47</v>
      </c>
      <c r="V20" s="121"/>
      <c r="W20" s="121" t="s">
        <v>47</v>
      </c>
      <c r="X20" s="121"/>
      <c r="Y20" s="121" t="s">
        <v>47</v>
      </c>
      <c r="Z20" s="103"/>
      <c r="AA20" s="123">
        <v>127</v>
      </c>
      <c r="AB20" s="106"/>
      <c r="AC20" s="123">
        <v>7290</v>
      </c>
      <c r="AD20" s="103"/>
      <c r="AE20" s="122">
        <v>57.4</v>
      </c>
    </row>
    <row r="21" spans="1:31" ht="11.25" customHeight="1">
      <c r="A21" s="52" t="s">
        <v>189</v>
      </c>
      <c r="B21" s="53"/>
      <c r="C21" s="121" t="s">
        <v>47</v>
      </c>
      <c r="D21" s="109"/>
      <c r="E21" s="121" t="s">
        <v>47</v>
      </c>
      <c r="F21" s="103"/>
      <c r="G21" s="121" t="s">
        <v>47</v>
      </c>
      <c r="H21" s="103"/>
      <c r="I21" s="121" t="s">
        <v>34</v>
      </c>
      <c r="J21" s="109"/>
      <c r="K21" s="121" t="s">
        <v>34</v>
      </c>
      <c r="L21" s="103"/>
      <c r="M21" s="122">
        <v>85.67</v>
      </c>
      <c r="N21" s="103"/>
      <c r="O21" s="113" t="s">
        <v>34</v>
      </c>
      <c r="P21" s="103"/>
      <c r="Q21" s="113" t="s">
        <v>34</v>
      </c>
      <c r="R21" s="103"/>
      <c r="S21" s="124">
        <v>46.68</v>
      </c>
      <c r="T21" s="53"/>
      <c r="U21" s="120" t="s">
        <v>34</v>
      </c>
      <c r="V21" s="103"/>
      <c r="W21" s="120" t="s">
        <v>34</v>
      </c>
      <c r="X21" s="103"/>
      <c r="Y21" s="116">
        <v>10</v>
      </c>
      <c r="Z21" s="103"/>
      <c r="AA21" s="120" t="s">
        <v>34</v>
      </c>
      <c r="AB21" s="103"/>
      <c r="AC21" s="120" t="s">
        <v>34</v>
      </c>
      <c r="AD21" s="103"/>
      <c r="AE21" s="118">
        <v>54.17</v>
      </c>
    </row>
    <row r="22" spans="1:31" ht="11.25" customHeight="1">
      <c r="A22" s="52" t="s">
        <v>245</v>
      </c>
      <c r="B22" s="53"/>
    </row>
    <row r="23" spans="1:31" ht="11.25" customHeight="1">
      <c r="A23" s="126" t="s">
        <v>244</v>
      </c>
      <c r="B23" s="53"/>
      <c r="C23" s="115">
        <v>50</v>
      </c>
      <c r="D23" s="107"/>
      <c r="E23" s="115">
        <v>3710</v>
      </c>
      <c r="F23" s="103"/>
      <c r="G23" s="13">
        <v>74.16</v>
      </c>
      <c r="H23" s="103"/>
      <c r="I23" s="117" t="s">
        <v>34</v>
      </c>
      <c r="J23" s="114"/>
      <c r="K23" s="117" t="s">
        <v>34</v>
      </c>
      <c r="L23" s="103"/>
      <c r="M23" s="117" t="s">
        <v>34</v>
      </c>
      <c r="N23" s="103"/>
      <c r="O23" s="106">
        <v>262</v>
      </c>
      <c r="P23" s="103"/>
      <c r="Q23" s="106">
        <v>18300</v>
      </c>
      <c r="R23" s="103"/>
      <c r="S23" s="13">
        <v>70.02</v>
      </c>
      <c r="T23" s="53"/>
      <c r="U23" s="117" t="s">
        <v>34</v>
      </c>
      <c r="V23" s="103"/>
      <c r="W23" s="117" t="s">
        <v>34</v>
      </c>
      <c r="X23" s="103"/>
      <c r="Y23" s="116">
        <v>92.67</v>
      </c>
      <c r="Z23" s="103"/>
      <c r="AA23" s="106">
        <v>338</v>
      </c>
      <c r="AB23" s="112"/>
      <c r="AC23" s="106">
        <v>24000</v>
      </c>
      <c r="AD23" s="103"/>
      <c r="AE23" s="118">
        <v>70.989999999999995</v>
      </c>
    </row>
    <row r="24" spans="1:31" ht="11.25" customHeight="1">
      <c r="A24" s="126" t="s">
        <v>246</v>
      </c>
      <c r="B24" s="53"/>
      <c r="C24" s="113" t="s">
        <v>47</v>
      </c>
      <c r="D24" s="107"/>
      <c r="E24" s="113" t="s">
        <v>47</v>
      </c>
      <c r="F24" s="103"/>
      <c r="G24" s="113" t="s">
        <v>47</v>
      </c>
      <c r="H24" s="103"/>
      <c r="I24" s="117" t="s">
        <v>34</v>
      </c>
      <c r="J24" s="114"/>
      <c r="K24" s="117" t="s">
        <v>34</v>
      </c>
      <c r="L24" s="103"/>
      <c r="M24" s="116">
        <v>65</v>
      </c>
      <c r="N24" s="103"/>
      <c r="O24" s="121" t="s">
        <v>47</v>
      </c>
      <c r="P24" s="119"/>
      <c r="Q24" s="121" t="s">
        <v>47</v>
      </c>
      <c r="R24" s="119"/>
      <c r="S24" s="37" t="s">
        <v>47</v>
      </c>
      <c r="T24" s="53"/>
      <c r="U24" s="121" t="s">
        <v>47</v>
      </c>
      <c r="V24" s="103"/>
      <c r="W24" s="121" t="s">
        <v>47</v>
      </c>
      <c r="X24" s="103"/>
      <c r="Y24" s="121" t="s">
        <v>47</v>
      </c>
      <c r="Z24" s="103"/>
      <c r="AA24" s="117" t="s">
        <v>34</v>
      </c>
      <c r="AB24" s="119"/>
      <c r="AC24" s="117" t="s">
        <v>34</v>
      </c>
      <c r="AD24" s="103"/>
      <c r="AE24" s="118">
        <v>65</v>
      </c>
    </row>
    <row r="25" spans="1:31" ht="11.25" customHeight="1">
      <c r="A25" s="126" t="s">
        <v>247</v>
      </c>
      <c r="B25" s="53"/>
      <c r="C25" s="113" t="s">
        <v>47</v>
      </c>
      <c r="D25" s="107"/>
      <c r="E25" s="113" t="s">
        <v>47</v>
      </c>
      <c r="F25" s="103"/>
      <c r="G25" s="113" t="s">
        <v>47</v>
      </c>
      <c r="H25" s="103"/>
      <c r="I25" s="121" t="s">
        <v>47</v>
      </c>
      <c r="J25" s="109"/>
      <c r="K25" s="121" t="s">
        <v>47</v>
      </c>
      <c r="L25" s="103"/>
      <c r="M25" s="121" t="s">
        <v>47</v>
      </c>
      <c r="N25" s="103"/>
      <c r="O25" s="121" t="s">
        <v>47</v>
      </c>
      <c r="P25" s="103"/>
      <c r="Q25" s="121" t="s">
        <v>47</v>
      </c>
      <c r="R25" s="103"/>
      <c r="S25" s="121" t="s">
        <v>47</v>
      </c>
      <c r="T25" s="53"/>
      <c r="U25" s="121" t="s">
        <v>47</v>
      </c>
      <c r="V25" s="103"/>
      <c r="W25" s="121" t="s">
        <v>47</v>
      </c>
      <c r="X25" s="103"/>
      <c r="Y25" s="121" t="s">
        <v>47</v>
      </c>
      <c r="Z25" s="103"/>
      <c r="AA25" s="121" t="s">
        <v>47</v>
      </c>
      <c r="AB25" s="103"/>
      <c r="AC25" s="121" t="s">
        <v>47</v>
      </c>
      <c r="AD25" s="103"/>
      <c r="AE25" s="121" t="s">
        <v>47</v>
      </c>
    </row>
    <row r="26" spans="1:31" ht="11.25" customHeight="1">
      <c r="A26" s="52" t="s">
        <v>159</v>
      </c>
      <c r="B26" s="53"/>
      <c r="C26" s="121" t="s">
        <v>34</v>
      </c>
      <c r="D26" s="114"/>
      <c r="E26" s="121" t="s">
        <v>34</v>
      </c>
      <c r="F26" s="112"/>
      <c r="G26" s="121" t="s">
        <v>34</v>
      </c>
      <c r="H26" s="103"/>
      <c r="I26" s="120" t="s">
        <v>34</v>
      </c>
      <c r="J26" s="114"/>
      <c r="K26" s="120" t="s">
        <v>34</v>
      </c>
      <c r="L26" s="119"/>
      <c r="M26" s="72" t="s">
        <v>34</v>
      </c>
      <c r="N26" s="103"/>
      <c r="O26" s="117" t="s">
        <v>34</v>
      </c>
      <c r="P26" s="103"/>
      <c r="Q26" s="117" t="s">
        <v>34</v>
      </c>
      <c r="R26" s="103"/>
      <c r="S26" s="13">
        <v>65.02</v>
      </c>
      <c r="T26" s="53"/>
      <c r="U26" s="113" t="s">
        <v>47</v>
      </c>
      <c r="V26" s="103"/>
      <c r="W26" s="113" t="s">
        <v>47</v>
      </c>
      <c r="X26" s="103"/>
      <c r="Y26" s="121" t="s">
        <v>47</v>
      </c>
      <c r="Z26" s="103"/>
      <c r="AA26" s="106">
        <v>539</v>
      </c>
      <c r="AB26" s="103"/>
      <c r="AC26" s="106">
        <v>25800</v>
      </c>
      <c r="AD26" s="103"/>
      <c r="AE26" s="118">
        <v>47.82</v>
      </c>
    </row>
    <row r="27" spans="1:31" ht="11.25" customHeight="1">
      <c r="A27" s="127" t="s">
        <v>160</v>
      </c>
      <c r="B27" s="128"/>
      <c r="C27" s="121" t="s">
        <v>34</v>
      </c>
      <c r="D27" s="121"/>
      <c r="E27" s="121" t="s">
        <v>34</v>
      </c>
      <c r="F27" s="112"/>
      <c r="G27" s="37" t="s">
        <v>34</v>
      </c>
      <c r="H27" s="103"/>
      <c r="I27" s="115">
        <v>19</v>
      </c>
      <c r="J27" s="109"/>
      <c r="K27" s="115">
        <v>1640</v>
      </c>
      <c r="L27" s="103"/>
      <c r="M27" s="13">
        <v>86.16</v>
      </c>
      <c r="N27" s="103"/>
      <c r="O27" s="120" t="s">
        <v>34</v>
      </c>
      <c r="P27" s="119"/>
      <c r="Q27" s="120" t="s">
        <v>34</v>
      </c>
      <c r="R27" s="103"/>
      <c r="S27" s="13">
        <v>76.239999999999995</v>
      </c>
      <c r="T27" s="128"/>
      <c r="U27" s="120" t="s">
        <v>34</v>
      </c>
      <c r="V27" s="103"/>
      <c r="W27" s="120" t="s">
        <v>34</v>
      </c>
      <c r="X27" s="103"/>
      <c r="Y27" s="117" t="s">
        <v>34</v>
      </c>
      <c r="Z27" s="103"/>
      <c r="AA27" s="106">
        <v>101</v>
      </c>
      <c r="AB27" s="103"/>
      <c r="AC27" s="106">
        <v>7890</v>
      </c>
      <c r="AD27" s="103"/>
      <c r="AE27" s="118">
        <v>78.16</v>
      </c>
    </row>
    <row r="28" spans="1:31" ht="11.25" customHeight="1">
      <c r="A28" s="127" t="s">
        <v>161</v>
      </c>
      <c r="B28" s="128"/>
      <c r="C28" s="106">
        <v>237</v>
      </c>
      <c r="D28" s="107"/>
      <c r="E28" s="106">
        <v>11300</v>
      </c>
      <c r="F28" s="103"/>
      <c r="G28" s="13">
        <v>47.82</v>
      </c>
      <c r="H28" s="103"/>
      <c r="I28" s="106">
        <v>523</v>
      </c>
      <c r="J28" s="107"/>
      <c r="K28" s="106">
        <v>19300</v>
      </c>
      <c r="L28" s="103"/>
      <c r="M28" s="13">
        <v>36.89</v>
      </c>
      <c r="N28" s="103"/>
      <c r="O28" s="106">
        <v>503</v>
      </c>
      <c r="P28" s="103"/>
      <c r="Q28" s="106">
        <v>30400</v>
      </c>
      <c r="R28" s="103"/>
      <c r="S28" s="13">
        <v>60.37</v>
      </c>
      <c r="T28" s="128"/>
      <c r="U28" s="106">
        <v>604</v>
      </c>
      <c r="V28" s="103"/>
      <c r="W28" s="106">
        <v>35500</v>
      </c>
      <c r="X28" s="103"/>
      <c r="Y28" s="116">
        <v>58.84</v>
      </c>
      <c r="Z28" s="103"/>
      <c r="AA28" s="106">
        <v>1870</v>
      </c>
      <c r="AB28" s="103"/>
      <c r="AC28" s="106">
        <v>96500</v>
      </c>
      <c r="AD28" s="103"/>
      <c r="AE28" s="118">
        <v>51.7</v>
      </c>
    </row>
    <row r="29" spans="1:31" ht="11.25" customHeight="1">
      <c r="A29" s="127" t="s">
        <v>162</v>
      </c>
      <c r="B29" s="128"/>
      <c r="C29" s="121" t="s">
        <v>34</v>
      </c>
      <c r="D29" s="109"/>
      <c r="E29" s="121" t="s">
        <v>34</v>
      </c>
      <c r="F29" s="103"/>
      <c r="G29" s="121" t="s">
        <v>34</v>
      </c>
      <c r="H29" s="103"/>
      <c r="I29" s="106">
        <v>56</v>
      </c>
      <c r="J29" s="107"/>
      <c r="K29" s="106">
        <v>5790</v>
      </c>
      <c r="L29" s="103"/>
      <c r="M29" s="116">
        <v>103.43</v>
      </c>
      <c r="N29" s="103"/>
      <c r="O29" s="106">
        <v>132</v>
      </c>
      <c r="P29" s="103"/>
      <c r="Q29" s="106">
        <v>9920</v>
      </c>
      <c r="R29" s="103"/>
      <c r="S29" s="13">
        <v>75.14</v>
      </c>
      <c r="T29" s="128"/>
      <c r="U29" s="113" t="s">
        <v>34</v>
      </c>
      <c r="V29" s="103"/>
      <c r="W29" s="120" t="s">
        <v>34</v>
      </c>
      <c r="X29" s="103"/>
      <c r="Y29" s="124">
        <v>93.51</v>
      </c>
      <c r="Z29" s="103"/>
      <c r="AA29" s="106">
        <v>188</v>
      </c>
      <c r="AB29" s="112"/>
      <c r="AC29" s="106">
        <v>15700</v>
      </c>
      <c r="AD29" s="103"/>
      <c r="AE29" s="118">
        <v>83.77</v>
      </c>
    </row>
    <row r="30" spans="1:31" ht="11.25" customHeight="1">
      <c r="A30" s="52" t="s">
        <v>243</v>
      </c>
      <c r="B30" s="128"/>
      <c r="C30" s="106"/>
      <c r="D30" s="109"/>
      <c r="E30" s="106"/>
      <c r="F30" s="103"/>
      <c r="G30" s="13"/>
      <c r="H30" s="103"/>
      <c r="I30" s="106"/>
      <c r="J30" s="109"/>
      <c r="K30" s="106"/>
      <c r="L30" s="103"/>
      <c r="M30" s="116"/>
      <c r="N30" s="103"/>
      <c r="O30" s="106"/>
      <c r="P30" s="103"/>
      <c r="Q30" s="106"/>
      <c r="R30" s="103"/>
      <c r="S30" s="116"/>
      <c r="T30" s="128"/>
      <c r="U30" s="106"/>
      <c r="V30" s="103"/>
      <c r="W30" s="106"/>
      <c r="X30" s="103"/>
      <c r="Y30" s="116"/>
      <c r="Z30" s="103"/>
      <c r="AA30" s="106"/>
      <c r="AB30" s="103"/>
      <c r="AC30" s="106"/>
      <c r="AD30" s="103"/>
      <c r="AE30" s="118"/>
    </row>
    <row r="31" spans="1:31" ht="11.25" customHeight="1">
      <c r="A31" s="60" t="s">
        <v>163</v>
      </c>
      <c r="B31" s="128"/>
      <c r="C31" s="123">
        <v>34</v>
      </c>
      <c r="D31" s="107"/>
      <c r="E31" s="123">
        <v>3400</v>
      </c>
      <c r="F31" s="103"/>
      <c r="G31" s="13">
        <v>100.06</v>
      </c>
      <c r="H31" s="103"/>
      <c r="I31" s="106">
        <v>161</v>
      </c>
      <c r="J31" s="109"/>
      <c r="K31" s="106">
        <v>13800</v>
      </c>
      <c r="L31" s="103"/>
      <c r="M31" s="13">
        <v>85.81</v>
      </c>
      <c r="N31" s="103"/>
      <c r="O31" s="117" t="s">
        <v>34</v>
      </c>
      <c r="P31" s="119"/>
      <c r="Q31" s="117" t="s">
        <v>34</v>
      </c>
      <c r="R31" s="103"/>
      <c r="S31" s="13">
        <v>92.88</v>
      </c>
      <c r="T31" s="128"/>
      <c r="U31" s="117" t="s">
        <v>34</v>
      </c>
      <c r="V31" s="103"/>
      <c r="W31" s="117" t="s">
        <v>34</v>
      </c>
      <c r="X31" s="103"/>
      <c r="Y31" s="117" t="s">
        <v>34</v>
      </c>
      <c r="Z31" s="103"/>
      <c r="AA31" s="106">
        <v>1190</v>
      </c>
      <c r="AB31" s="103"/>
      <c r="AC31" s="106">
        <v>110000</v>
      </c>
      <c r="AD31" s="103"/>
      <c r="AE31" s="118">
        <v>92.07</v>
      </c>
    </row>
    <row r="32" spans="1:31" ht="11.25" customHeight="1">
      <c r="A32" s="60" t="s">
        <v>164</v>
      </c>
      <c r="B32" s="128"/>
      <c r="C32" s="117" t="s">
        <v>34</v>
      </c>
      <c r="D32" s="114"/>
      <c r="E32" s="117" t="s">
        <v>34</v>
      </c>
      <c r="F32" s="119"/>
      <c r="G32" s="72" t="s">
        <v>34</v>
      </c>
      <c r="H32" s="103"/>
      <c r="I32" s="106">
        <v>13</v>
      </c>
      <c r="J32" s="109"/>
      <c r="K32" s="106">
        <v>1030</v>
      </c>
      <c r="L32" s="103"/>
      <c r="M32" s="13">
        <v>79.31</v>
      </c>
      <c r="N32" s="103"/>
      <c r="O32" s="106">
        <v>221</v>
      </c>
      <c r="P32" s="112"/>
      <c r="Q32" s="106">
        <v>19200</v>
      </c>
      <c r="R32" s="103"/>
      <c r="S32" s="116">
        <v>86.85</v>
      </c>
      <c r="T32" s="128"/>
      <c r="U32" s="117" t="s">
        <v>34</v>
      </c>
      <c r="V32" s="103"/>
      <c r="W32" s="117" t="s">
        <v>34</v>
      </c>
      <c r="X32" s="103"/>
      <c r="Y32" s="116">
        <v>142.94999999999999</v>
      </c>
      <c r="Z32" s="103"/>
      <c r="AA32" s="106">
        <v>260</v>
      </c>
      <c r="AB32" s="103"/>
      <c r="AC32" s="106">
        <v>23900</v>
      </c>
      <c r="AD32" s="103"/>
      <c r="AE32" s="118">
        <v>91.9</v>
      </c>
    </row>
    <row r="33" spans="1:31" ht="11.25" customHeight="1">
      <c r="A33" s="52" t="s">
        <v>165</v>
      </c>
      <c r="B33" s="128"/>
      <c r="C33" s="106"/>
      <c r="D33" s="109"/>
      <c r="E33" s="106"/>
      <c r="F33" s="103"/>
      <c r="G33" s="13"/>
      <c r="H33" s="103"/>
      <c r="I33" s="106"/>
      <c r="J33" s="109"/>
      <c r="K33" s="106"/>
      <c r="L33" s="103"/>
      <c r="M33" s="116"/>
      <c r="N33" s="103"/>
      <c r="O33" s="106"/>
      <c r="P33" s="103"/>
      <c r="Q33" s="106"/>
      <c r="R33" s="103"/>
      <c r="S33" s="116"/>
      <c r="T33" s="128"/>
      <c r="U33" s="106"/>
      <c r="V33" s="103"/>
      <c r="W33" s="129"/>
      <c r="X33" s="103"/>
      <c r="Y33" s="116"/>
      <c r="Z33" s="103"/>
      <c r="AA33" s="106"/>
      <c r="AB33" s="103"/>
      <c r="AC33" s="106"/>
      <c r="AD33" s="103"/>
      <c r="AE33" s="118"/>
    </row>
    <row r="34" spans="1:31" ht="11.25" customHeight="1">
      <c r="A34" s="60" t="s">
        <v>197</v>
      </c>
      <c r="B34" s="128"/>
      <c r="C34" s="121" t="s">
        <v>34</v>
      </c>
      <c r="D34" s="114"/>
      <c r="E34" s="121" t="s">
        <v>34</v>
      </c>
      <c r="F34" s="103"/>
      <c r="G34" s="17">
        <v>66.13</v>
      </c>
      <c r="H34" s="103"/>
      <c r="I34" s="106">
        <v>28200</v>
      </c>
      <c r="J34" s="109"/>
      <c r="K34" s="106">
        <v>1560000</v>
      </c>
      <c r="L34" s="103"/>
      <c r="M34" s="13">
        <v>55.29</v>
      </c>
      <c r="N34" s="103"/>
      <c r="O34" s="106">
        <v>59500</v>
      </c>
      <c r="P34" s="103"/>
      <c r="Q34" s="106">
        <v>2230000</v>
      </c>
      <c r="R34" s="103"/>
      <c r="S34" s="122">
        <v>37.450000000000003</v>
      </c>
      <c r="T34" s="128"/>
      <c r="U34" s="117" t="s">
        <v>34</v>
      </c>
      <c r="V34" s="103"/>
      <c r="W34" s="117" t="s">
        <v>34</v>
      </c>
      <c r="X34" s="103"/>
      <c r="Y34" s="117" t="s">
        <v>34</v>
      </c>
      <c r="Z34" s="103"/>
      <c r="AA34" s="106">
        <v>89300</v>
      </c>
      <c r="AB34" s="103"/>
      <c r="AC34" s="106">
        <v>3870000</v>
      </c>
      <c r="AD34" s="103"/>
      <c r="AE34" s="118">
        <v>43.33</v>
      </c>
    </row>
    <row r="35" spans="1:31" ht="11.25" customHeight="1">
      <c r="A35" s="60" t="s">
        <v>166</v>
      </c>
      <c r="B35" s="130"/>
      <c r="C35" s="121" t="s">
        <v>34</v>
      </c>
      <c r="D35" s="114"/>
      <c r="E35" s="121" t="s">
        <v>34</v>
      </c>
      <c r="F35" s="119"/>
      <c r="G35" s="121" t="s">
        <v>34</v>
      </c>
      <c r="H35" s="103"/>
      <c r="I35" s="121" t="s">
        <v>34</v>
      </c>
      <c r="J35" s="107"/>
      <c r="K35" s="121" t="s">
        <v>34</v>
      </c>
      <c r="L35" s="103"/>
      <c r="M35" s="122">
        <v>102.6</v>
      </c>
      <c r="N35" s="103"/>
      <c r="O35" s="117" t="s">
        <v>34</v>
      </c>
      <c r="P35" s="119"/>
      <c r="Q35" s="117" t="s">
        <v>34</v>
      </c>
      <c r="R35" s="103"/>
      <c r="S35" s="122">
        <v>21.84</v>
      </c>
      <c r="T35" s="128"/>
      <c r="U35" s="117" t="s">
        <v>34</v>
      </c>
      <c r="V35" s="119"/>
      <c r="W35" s="117" t="s">
        <v>34</v>
      </c>
      <c r="X35" s="103"/>
      <c r="Y35" s="122">
        <v>97.55</v>
      </c>
      <c r="Z35" s="103"/>
      <c r="AA35" s="106">
        <v>3310</v>
      </c>
      <c r="AB35" s="103"/>
      <c r="AC35" s="106">
        <v>74800</v>
      </c>
      <c r="AD35" s="103"/>
      <c r="AE35" s="118">
        <v>22.59</v>
      </c>
    </row>
    <row r="36" spans="1:31" ht="11.25" customHeight="1">
      <c r="A36" s="52" t="s">
        <v>167</v>
      </c>
      <c r="B36" s="128"/>
      <c r="C36" s="106"/>
      <c r="D36" s="109"/>
      <c r="E36" s="106"/>
      <c r="F36" s="103"/>
      <c r="G36" s="13"/>
      <c r="H36" s="103"/>
      <c r="I36" s="106"/>
      <c r="J36" s="109"/>
      <c r="K36" s="106"/>
      <c r="L36" s="103"/>
      <c r="M36" s="116"/>
      <c r="N36" s="103"/>
      <c r="O36" s="106"/>
      <c r="P36" s="103"/>
      <c r="Q36" s="106"/>
      <c r="R36" s="103"/>
      <c r="S36" s="116"/>
      <c r="T36" s="128"/>
      <c r="U36" s="128"/>
      <c r="V36" s="128"/>
      <c r="W36" s="131"/>
      <c r="X36" s="128"/>
      <c r="Y36" s="128"/>
      <c r="Z36" s="128"/>
      <c r="AA36" s="128"/>
      <c r="AB36" s="128"/>
      <c r="AC36" s="128"/>
      <c r="AD36" s="128"/>
      <c r="AE36" s="118"/>
    </row>
    <row r="37" spans="1:31" ht="11.25" customHeight="1">
      <c r="A37" s="60" t="s">
        <v>168</v>
      </c>
      <c r="B37" s="128"/>
      <c r="C37" s="123">
        <v>58</v>
      </c>
      <c r="D37" s="107"/>
      <c r="E37" s="123">
        <v>2090</v>
      </c>
      <c r="F37" s="103"/>
      <c r="G37" s="13">
        <v>36.1</v>
      </c>
      <c r="H37" s="103"/>
      <c r="I37" s="106">
        <v>161</v>
      </c>
      <c r="J37" s="109"/>
      <c r="K37" s="106">
        <v>9210</v>
      </c>
      <c r="L37" s="103"/>
      <c r="M37" s="13">
        <v>57.17</v>
      </c>
      <c r="N37" s="103"/>
      <c r="O37" s="106">
        <v>369</v>
      </c>
      <c r="P37" s="103"/>
      <c r="Q37" s="106">
        <v>15600</v>
      </c>
      <c r="R37" s="103"/>
      <c r="S37" s="13">
        <v>42.35</v>
      </c>
      <c r="T37" s="128"/>
      <c r="U37" s="115">
        <v>72</v>
      </c>
      <c r="V37" s="112"/>
      <c r="W37" s="115">
        <v>4460</v>
      </c>
      <c r="X37" s="103"/>
      <c r="Y37" s="116">
        <v>61.88</v>
      </c>
      <c r="Z37" s="103"/>
      <c r="AA37" s="106">
        <v>660</v>
      </c>
      <c r="AB37" s="103"/>
      <c r="AC37" s="106">
        <v>31400</v>
      </c>
      <c r="AD37" s="103"/>
      <c r="AE37" s="118">
        <v>47.55</v>
      </c>
    </row>
    <row r="38" spans="1:31" ht="11.25" customHeight="1">
      <c r="A38" s="132" t="s">
        <v>169</v>
      </c>
      <c r="B38" s="128"/>
      <c r="C38" s="123">
        <v>56</v>
      </c>
      <c r="D38" s="107"/>
      <c r="E38" s="123">
        <v>2650</v>
      </c>
      <c r="F38" s="103"/>
      <c r="G38" s="15">
        <v>47.29</v>
      </c>
      <c r="H38" s="103"/>
      <c r="I38" s="117" t="s">
        <v>34</v>
      </c>
      <c r="J38" s="114"/>
      <c r="K38" s="117" t="s">
        <v>34</v>
      </c>
      <c r="L38" s="103"/>
      <c r="M38" s="13">
        <v>72.47</v>
      </c>
      <c r="N38" s="103"/>
      <c r="O38" s="106">
        <v>390</v>
      </c>
      <c r="P38" s="103"/>
      <c r="Q38" s="106">
        <v>22100</v>
      </c>
      <c r="R38" s="103"/>
      <c r="S38" s="13">
        <v>56.71</v>
      </c>
      <c r="T38" s="128"/>
      <c r="U38" s="120" t="s">
        <v>34</v>
      </c>
      <c r="V38" s="119"/>
      <c r="W38" s="120" t="s">
        <v>34</v>
      </c>
      <c r="X38" s="103"/>
      <c r="Y38" s="116">
        <v>73.790000000000006</v>
      </c>
      <c r="Z38" s="103"/>
      <c r="AA38" s="106">
        <v>580</v>
      </c>
      <c r="AB38" s="103"/>
      <c r="AC38" s="106">
        <v>34600</v>
      </c>
      <c r="AD38" s="103"/>
      <c r="AE38" s="118">
        <v>59.67</v>
      </c>
    </row>
    <row r="39" spans="1:31" ht="11.25" customHeight="1">
      <c r="A39" s="52" t="s">
        <v>170</v>
      </c>
      <c r="B39" s="128"/>
      <c r="C39" s="121" t="s">
        <v>34</v>
      </c>
      <c r="D39" s="121"/>
      <c r="E39" s="121" t="s">
        <v>34</v>
      </c>
      <c r="F39" s="119"/>
      <c r="G39" s="72" t="s">
        <v>34</v>
      </c>
      <c r="H39" s="103"/>
      <c r="I39" s="106">
        <v>56</v>
      </c>
      <c r="J39" s="109"/>
      <c r="K39" s="106">
        <v>3270</v>
      </c>
      <c r="L39" s="103"/>
      <c r="M39" s="116">
        <v>58.45</v>
      </c>
      <c r="N39" s="103"/>
      <c r="O39" s="106">
        <v>22</v>
      </c>
      <c r="P39" s="103"/>
      <c r="Q39" s="106">
        <v>1130</v>
      </c>
      <c r="R39" s="103"/>
      <c r="S39" s="13">
        <v>51.45</v>
      </c>
      <c r="T39" s="128"/>
      <c r="U39" s="120" t="s">
        <v>34</v>
      </c>
      <c r="V39" s="103"/>
      <c r="W39" s="120" t="s">
        <v>34</v>
      </c>
      <c r="X39" s="103"/>
      <c r="Y39" s="116">
        <v>63.63</v>
      </c>
      <c r="Z39" s="103"/>
      <c r="AA39" s="106">
        <v>92</v>
      </c>
      <c r="AB39" s="103"/>
      <c r="AC39" s="106">
        <v>5250</v>
      </c>
      <c r="AD39" s="103"/>
      <c r="AE39" s="118">
        <v>57.05</v>
      </c>
    </row>
    <row r="40" spans="1:31" ht="11.25" customHeight="1">
      <c r="A40" s="52" t="s">
        <v>171</v>
      </c>
      <c r="B40" s="128"/>
      <c r="C40" s="121" t="s">
        <v>34</v>
      </c>
      <c r="D40" s="107"/>
      <c r="E40" s="121" t="s">
        <v>34</v>
      </c>
      <c r="F40" s="112"/>
      <c r="G40" s="121" t="s">
        <v>34</v>
      </c>
      <c r="H40" s="103"/>
      <c r="I40" s="121" t="s">
        <v>34</v>
      </c>
      <c r="J40" s="107"/>
      <c r="K40" s="121" t="s">
        <v>34</v>
      </c>
      <c r="L40" s="103"/>
      <c r="M40" s="116">
        <v>67.36</v>
      </c>
      <c r="N40" s="103"/>
      <c r="O40" s="106">
        <v>261</v>
      </c>
      <c r="P40" s="103"/>
      <c r="Q40" s="106">
        <v>16800</v>
      </c>
      <c r="R40" s="103"/>
      <c r="S40" s="116">
        <v>64.41</v>
      </c>
      <c r="T40" s="128"/>
      <c r="U40" s="117" t="s">
        <v>34</v>
      </c>
      <c r="V40" s="119"/>
      <c r="W40" s="117" t="s">
        <v>34</v>
      </c>
      <c r="X40" s="103"/>
      <c r="Y40" s="116">
        <v>55.6</v>
      </c>
      <c r="Z40" s="103"/>
      <c r="AA40" s="106">
        <v>432</v>
      </c>
      <c r="AB40" s="103"/>
      <c r="AC40" s="106">
        <v>25200</v>
      </c>
      <c r="AD40" s="103"/>
      <c r="AE40" s="118">
        <v>58.35</v>
      </c>
    </row>
    <row r="41" spans="1:31" ht="11.25" customHeight="1">
      <c r="A41" s="52" t="s">
        <v>226</v>
      </c>
      <c r="B41" s="128"/>
      <c r="C41" s="121" t="s">
        <v>34</v>
      </c>
      <c r="D41" s="8"/>
      <c r="E41" s="37" t="s">
        <v>34</v>
      </c>
      <c r="F41" s="8"/>
      <c r="G41" s="37" t="s">
        <v>34</v>
      </c>
      <c r="H41" s="8"/>
      <c r="I41" s="106">
        <v>198</v>
      </c>
      <c r="J41" s="67"/>
      <c r="K41" s="106">
        <v>9150</v>
      </c>
      <c r="L41" s="8"/>
      <c r="M41" s="13">
        <v>46.2</v>
      </c>
      <c r="N41" s="8"/>
      <c r="O41" s="121" t="s">
        <v>34</v>
      </c>
      <c r="P41" s="8"/>
      <c r="Q41" s="121" t="s">
        <v>34</v>
      </c>
      <c r="R41" s="14"/>
      <c r="S41" s="13">
        <v>52.72</v>
      </c>
      <c r="T41" s="128"/>
      <c r="U41" s="120" t="s">
        <v>34</v>
      </c>
      <c r="V41" s="8"/>
      <c r="W41" s="120" t="s">
        <v>34</v>
      </c>
      <c r="X41" s="14"/>
      <c r="Y41" s="15">
        <v>36.11</v>
      </c>
      <c r="Z41" s="8"/>
      <c r="AA41" s="115">
        <v>682</v>
      </c>
      <c r="AB41" s="8"/>
      <c r="AC41" s="115">
        <v>31800</v>
      </c>
      <c r="AD41" s="8"/>
      <c r="AE41" s="118">
        <v>46.6</v>
      </c>
    </row>
    <row r="42" spans="1:31" ht="11.25" customHeight="1">
      <c r="A42" s="52" t="s">
        <v>172</v>
      </c>
      <c r="B42" s="128"/>
      <c r="C42" s="117" t="s">
        <v>34</v>
      </c>
      <c r="D42" s="106"/>
      <c r="E42" s="117" t="s">
        <v>34</v>
      </c>
      <c r="F42" s="103"/>
      <c r="G42" s="72" t="s">
        <v>34</v>
      </c>
      <c r="H42" s="103"/>
      <c r="I42" s="106">
        <v>621</v>
      </c>
      <c r="J42" s="109"/>
      <c r="K42" s="106">
        <v>54800</v>
      </c>
      <c r="L42" s="103"/>
      <c r="M42" s="13">
        <v>88.18</v>
      </c>
      <c r="N42" s="103"/>
      <c r="O42" s="106">
        <v>1090</v>
      </c>
      <c r="P42" s="103"/>
      <c r="Q42" s="106">
        <v>82900</v>
      </c>
      <c r="R42" s="103"/>
      <c r="S42" s="13">
        <v>76.239999999999995</v>
      </c>
      <c r="T42" s="128"/>
      <c r="U42" s="120" t="s">
        <v>34</v>
      </c>
      <c r="V42" s="115"/>
      <c r="W42" s="120" t="s">
        <v>34</v>
      </c>
      <c r="X42" s="103"/>
      <c r="Y42" s="116">
        <v>68.69</v>
      </c>
      <c r="Z42" s="103"/>
      <c r="AA42" s="115">
        <v>2120</v>
      </c>
      <c r="AB42" s="133"/>
      <c r="AC42" s="115">
        <v>166000</v>
      </c>
      <c r="AD42" s="103"/>
      <c r="AE42" s="118">
        <v>78.03</v>
      </c>
    </row>
    <row r="43" spans="1:31" ht="11.25" customHeight="1">
      <c r="A43" s="60" t="s">
        <v>173</v>
      </c>
      <c r="B43" s="128"/>
      <c r="C43" s="134">
        <v>1500</v>
      </c>
      <c r="D43" s="134"/>
      <c r="E43" s="134">
        <v>73500</v>
      </c>
      <c r="F43" s="134"/>
      <c r="G43" s="38">
        <v>48.97</v>
      </c>
      <c r="H43" s="134"/>
      <c r="I43" s="134">
        <v>36000</v>
      </c>
      <c r="J43" s="134"/>
      <c r="K43" s="134">
        <v>1980000</v>
      </c>
      <c r="L43" s="134"/>
      <c r="M43" s="38">
        <v>54.99</v>
      </c>
      <c r="N43" s="134"/>
      <c r="O43" s="134">
        <v>72000</v>
      </c>
      <c r="P43" s="134"/>
      <c r="Q43" s="134">
        <v>2880000</v>
      </c>
      <c r="R43" s="134"/>
      <c r="S43" s="38">
        <v>39.99</v>
      </c>
      <c r="T43" s="135"/>
      <c r="U43" s="134">
        <v>3720</v>
      </c>
      <c r="V43" s="134"/>
      <c r="W43" s="134">
        <v>198000</v>
      </c>
      <c r="X43" s="136"/>
      <c r="Y43" s="38">
        <v>53.3</v>
      </c>
      <c r="Z43" s="136"/>
      <c r="AA43" s="134">
        <v>113000</v>
      </c>
      <c r="AB43" s="134"/>
      <c r="AC43" s="134">
        <v>5130000</v>
      </c>
      <c r="AD43" s="134"/>
      <c r="AE43" s="137">
        <v>45.32</v>
      </c>
    </row>
    <row r="44" spans="1:31" ht="11.25" customHeight="1">
      <c r="A44" s="50" t="s">
        <v>174</v>
      </c>
      <c r="B44" s="128"/>
      <c r="C44" s="106"/>
      <c r="D44" s="109"/>
      <c r="E44" s="106"/>
      <c r="F44" s="103"/>
      <c r="G44" s="116"/>
      <c r="H44" s="103"/>
      <c r="I44" s="106"/>
      <c r="J44" s="109"/>
      <c r="K44" s="106"/>
      <c r="L44" s="103"/>
      <c r="M44" s="116"/>
      <c r="N44" s="103"/>
      <c r="O44" s="106"/>
      <c r="P44" s="103"/>
      <c r="Q44" s="106"/>
      <c r="R44" s="103"/>
      <c r="S44" s="116"/>
      <c r="T44" s="128"/>
      <c r="U44" s="106"/>
      <c r="V44" s="103"/>
      <c r="W44" s="106"/>
      <c r="X44" s="103"/>
      <c r="Y44" s="116"/>
      <c r="Z44" s="103"/>
      <c r="AA44" s="106"/>
      <c r="AB44" s="103"/>
      <c r="AC44" s="106"/>
      <c r="AD44" s="103"/>
      <c r="AE44" s="116"/>
    </row>
    <row r="45" spans="1:31" ht="11.25" customHeight="1">
      <c r="A45" s="52" t="s">
        <v>175</v>
      </c>
      <c r="B45" s="128"/>
      <c r="C45" s="121" t="s">
        <v>47</v>
      </c>
      <c r="D45" s="109"/>
      <c r="E45" s="121" t="s">
        <v>47</v>
      </c>
      <c r="F45" s="103"/>
      <c r="G45" s="121" t="s">
        <v>47</v>
      </c>
      <c r="H45" s="103"/>
      <c r="I45" s="121" t="s">
        <v>34</v>
      </c>
      <c r="J45" s="109"/>
      <c r="K45" s="121" t="s">
        <v>34</v>
      </c>
      <c r="L45" s="103"/>
      <c r="M45" s="121" t="s">
        <v>34</v>
      </c>
      <c r="N45" s="103"/>
      <c r="O45" s="121" t="s">
        <v>34</v>
      </c>
      <c r="P45" s="112"/>
      <c r="Q45" s="121" t="s">
        <v>34</v>
      </c>
      <c r="R45" s="103"/>
      <c r="S45" s="13">
        <v>50.74</v>
      </c>
      <c r="T45" s="128"/>
      <c r="U45" s="121" t="s">
        <v>47</v>
      </c>
      <c r="V45" s="103"/>
      <c r="W45" s="121" t="s">
        <v>47</v>
      </c>
      <c r="X45" s="103"/>
      <c r="Y45" s="121" t="s">
        <v>47</v>
      </c>
      <c r="Z45" s="103"/>
      <c r="AA45" s="123">
        <v>241</v>
      </c>
      <c r="AB45" s="112"/>
      <c r="AC45" s="123">
        <v>12100</v>
      </c>
      <c r="AD45" s="103"/>
      <c r="AE45" s="116">
        <v>50.21</v>
      </c>
    </row>
    <row r="46" spans="1:31" ht="11.25" customHeight="1">
      <c r="A46" s="52" t="s">
        <v>176</v>
      </c>
      <c r="B46" s="128"/>
      <c r="C46" s="121" t="s">
        <v>34</v>
      </c>
      <c r="D46" s="107"/>
      <c r="E46" s="121" t="s">
        <v>34</v>
      </c>
      <c r="F46" s="103"/>
      <c r="G46" s="13">
        <v>15.13</v>
      </c>
      <c r="H46" s="103"/>
      <c r="I46" s="121" t="s">
        <v>34</v>
      </c>
      <c r="J46" s="109"/>
      <c r="K46" s="121" t="s">
        <v>34</v>
      </c>
      <c r="L46" s="103"/>
      <c r="M46" s="116">
        <v>101.14</v>
      </c>
      <c r="N46" s="103"/>
      <c r="O46" s="123">
        <v>10</v>
      </c>
      <c r="P46" s="112"/>
      <c r="Q46" s="123">
        <v>1470</v>
      </c>
      <c r="R46" s="103"/>
      <c r="S46" s="13">
        <v>147.30000000000001</v>
      </c>
      <c r="T46" s="128"/>
      <c r="U46" s="121" t="s">
        <v>47</v>
      </c>
      <c r="V46" s="103"/>
      <c r="W46" s="121" t="s">
        <v>47</v>
      </c>
      <c r="X46" s="103"/>
      <c r="Y46" s="121" t="s">
        <v>47</v>
      </c>
      <c r="Z46" s="103"/>
      <c r="AA46" s="115">
        <v>75</v>
      </c>
      <c r="AB46" s="112"/>
      <c r="AC46" s="115">
        <v>6760</v>
      </c>
      <c r="AD46" s="103"/>
      <c r="AE46" s="116">
        <v>90.09</v>
      </c>
    </row>
    <row r="47" spans="1:31" ht="11.25" customHeight="1">
      <c r="A47" s="52" t="s">
        <v>69</v>
      </c>
      <c r="B47" s="128"/>
      <c r="C47" s="121" t="s">
        <v>34</v>
      </c>
      <c r="D47" s="109"/>
      <c r="E47" s="121" t="s">
        <v>34</v>
      </c>
      <c r="F47" s="103"/>
      <c r="G47" s="121" t="s">
        <v>34</v>
      </c>
      <c r="H47" s="103"/>
      <c r="I47" s="117" t="s">
        <v>34</v>
      </c>
      <c r="J47" s="109"/>
      <c r="K47" s="117" t="s">
        <v>34</v>
      </c>
      <c r="L47" s="103"/>
      <c r="M47" s="13">
        <v>41.68</v>
      </c>
      <c r="N47" s="103"/>
      <c r="O47" s="117" t="s">
        <v>34</v>
      </c>
      <c r="P47" s="119"/>
      <c r="Q47" s="117" t="s">
        <v>34</v>
      </c>
      <c r="R47" s="103"/>
      <c r="S47" s="13">
        <v>37.93</v>
      </c>
      <c r="T47" s="128"/>
      <c r="U47" s="113" t="s">
        <v>34</v>
      </c>
      <c r="V47" s="103"/>
      <c r="W47" s="117" t="s">
        <v>34</v>
      </c>
      <c r="X47" s="103"/>
      <c r="Y47" s="124">
        <v>35.69</v>
      </c>
      <c r="Z47" s="103"/>
      <c r="AA47" s="115">
        <v>299</v>
      </c>
      <c r="AB47" s="119"/>
      <c r="AC47" s="115">
        <v>11300</v>
      </c>
      <c r="AD47" s="138"/>
      <c r="AE47" s="139">
        <v>37.83</v>
      </c>
    </row>
    <row r="48" spans="1:31" ht="11.25" customHeight="1">
      <c r="A48" s="60" t="s">
        <v>173</v>
      </c>
      <c r="B48" s="128"/>
      <c r="C48" s="141" t="s">
        <v>34</v>
      </c>
      <c r="D48" s="140"/>
      <c r="E48" s="141" t="s">
        <v>34</v>
      </c>
      <c r="F48" s="136"/>
      <c r="G48" s="163" t="s">
        <v>34</v>
      </c>
      <c r="H48" s="136"/>
      <c r="I48" s="134">
        <v>96</v>
      </c>
      <c r="J48" s="140"/>
      <c r="K48" s="134">
        <v>6960</v>
      </c>
      <c r="L48" s="136"/>
      <c r="M48" s="38">
        <v>72.45</v>
      </c>
      <c r="N48" s="136"/>
      <c r="O48" s="134">
        <v>450</v>
      </c>
      <c r="P48" s="142"/>
      <c r="Q48" s="134">
        <v>21100</v>
      </c>
      <c r="R48" s="136"/>
      <c r="S48" s="38">
        <v>46.96</v>
      </c>
      <c r="T48" s="135"/>
      <c r="U48" s="141" t="s">
        <v>34</v>
      </c>
      <c r="V48" s="142"/>
      <c r="W48" s="141" t="s">
        <v>34</v>
      </c>
      <c r="X48" s="136"/>
      <c r="Y48" s="143">
        <v>35.69</v>
      </c>
      <c r="Z48" s="136"/>
      <c r="AA48" s="134">
        <v>615</v>
      </c>
      <c r="AB48" s="134"/>
      <c r="AC48" s="134">
        <v>30200</v>
      </c>
      <c r="AD48" s="103"/>
      <c r="AE48" s="116">
        <v>49.06</v>
      </c>
    </row>
    <row r="49" spans="1:31" ht="11.25" customHeight="1">
      <c r="A49" s="52" t="s">
        <v>177</v>
      </c>
      <c r="B49" s="144"/>
      <c r="C49" s="145">
        <v>1520</v>
      </c>
      <c r="D49" s="145"/>
      <c r="E49" s="145">
        <v>73700</v>
      </c>
      <c r="F49" s="145"/>
      <c r="G49" s="146">
        <v>48.6</v>
      </c>
      <c r="H49" s="145"/>
      <c r="I49" s="145">
        <v>36100</v>
      </c>
      <c r="J49" s="145"/>
      <c r="K49" s="145">
        <v>1990000</v>
      </c>
      <c r="L49" s="145"/>
      <c r="M49" s="146">
        <v>55.04</v>
      </c>
      <c r="N49" s="145"/>
      <c r="O49" s="145">
        <v>72500</v>
      </c>
      <c r="P49" s="145"/>
      <c r="Q49" s="145">
        <v>2900000</v>
      </c>
      <c r="R49" s="145"/>
      <c r="S49" s="146">
        <v>40.04</v>
      </c>
      <c r="T49" s="144"/>
      <c r="U49" s="145">
        <v>3770</v>
      </c>
      <c r="V49" s="138"/>
      <c r="W49" s="145">
        <v>200000</v>
      </c>
      <c r="X49" s="138"/>
      <c r="Y49" s="146">
        <v>53.06</v>
      </c>
      <c r="Z49" s="138"/>
      <c r="AA49" s="145">
        <v>114000</v>
      </c>
      <c r="AB49" s="138"/>
      <c r="AC49" s="145">
        <v>5160000</v>
      </c>
      <c r="AD49" s="147"/>
      <c r="AE49" s="146">
        <v>45.34</v>
      </c>
    </row>
    <row r="50" spans="1:31" ht="11.25" customHeight="1">
      <c r="A50" s="295" t="s">
        <v>295</v>
      </c>
      <c r="B50" s="295"/>
      <c r="C50" s="295"/>
      <c r="D50" s="295"/>
      <c r="E50" s="295"/>
      <c r="F50" s="295"/>
      <c r="G50" s="295"/>
      <c r="H50" s="295"/>
      <c r="I50" s="295"/>
      <c r="J50" s="295"/>
      <c r="K50" s="295"/>
      <c r="L50" s="295"/>
      <c r="M50" s="295"/>
      <c r="N50" s="295"/>
      <c r="O50" s="295"/>
      <c r="P50" s="295"/>
      <c r="Q50" s="295"/>
      <c r="R50" s="295"/>
      <c r="S50" s="295"/>
      <c r="T50" s="295"/>
      <c r="U50" s="295"/>
      <c r="V50" s="295"/>
      <c r="W50" s="295"/>
      <c r="X50" s="295"/>
      <c r="Y50" s="295"/>
      <c r="Z50" s="295"/>
      <c r="AA50" s="295"/>
      <c r="AB50" s="295"/>
      <c r="AC50" s="295"/>
      <c r="AD50" s="295"/>
      <c r="AE50" s="295"/>
    </row>
    <row r="51" spans="1:31" ht="11.25" customHeight="1">
      <c r="A51" s="295" t="s">
        <v>289</v>
      </c>
      <c r="B51" s="295"/>
      <c r="C51" s="295"/>
      <c r="D51" s="295"/>
      <c r="E51" s="295"/>
      <c r="F51" s="295"/>
      <c r="G51" s="295"/>
      <c r="H51" s="295"/>
      <c r="I51" s="295"/>
      <c r="J51" s="295"/>
      <c r="K51" s="295"/>
      <c r="L51" s="295"/>
      <c r="M51" s="295"/>
      <c r="N51" s="295"/>
      <c r="O51" s="295"/>
      <c r="P51" s="295"/>
      <c r="Q51" s="295"/>
      <c r="R51" s="295"/>
      <c r="S51" s="295"/>
      <c r="T51" s="295"/>
      <c r="U51" s="295"/>
      <c r="V51" s="295"/>
      <c r="W51" s="295"/>
      <c r="X51" s="295"/>
      <c r="Y51" s="295"/>
      <c r="Z51" s="295"/>
      <c r="AA51" s="295"/>
      <c r="AB51" s="295"/>
      <c r="AC51" s="295"/>
      <c r="AD51" s="295"/>
      <c r="AE51" s="295"/>
    </row>
    <row r="52" spans="1:31" ht="11.25" customHeight="1">
      <c r="A52" s="268" t="s">
        <v>213</v>
      </c>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row>
    <row r="53" spans="1:31" ht="11.25" customHeight="1">
      <c r="A53" s="295" t="s">
        <v>386</v>
      </c>
      <c r="B53" s="295"/>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295"/>
      <c r="AE53" s="295"/>
    </row>
  </sheetData>
  <mergeCells count="12">
    <mergeCell ref="A50:AE50"/>
    <mergeCell ref="A51:AE51"/>
    <mergeCell ref="A52:AE52"/>
    <mergeCell ref="A53:AE53"/>
    <mergeCell ref="A1:AE1"/>
    <mergeCell ref="A2:AE2"/>
    <mergeCell ref="A3:AE3"/>
    <mergeCell ref="C4:G4"/>
    <mergeCell ref="I4:M4"/>
    <mergeCell ref="O4:S4"/>
    <mergeCell ref="U4:Y4"/>
    <mergeCell ref="AA4:AE4"/>
  </mergeCells>
  <pageMargins left="0.5" right="0.5" top="0.5" bottom="0.5" header="0.3" footer="0.3"/>
  <pageSetup scale="8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4"/>
  <sheetViews>
    <sheetView zoomScaleNormal="100" workbookViewId="0">
      <selection sqref="A1:K1"/>
    </sheetView>
  </sheetViews>
  <sheetFormatPr defaultColWidth="9.33203125" defaultRowHeight="11.25" customHeight="1"/>
  <cols>
    <col min="1" max="1" width="27" style="1" customWidth="1"/>
    <col min="2" max="2" width="1.6640625" style="1" customWidth="1"/>
    <col min="3" max="3" width="6.6640625" style="1" customWidth="1"/>
    <col min="4" max="4" width="1.6640625" style="1" customWidth="1"/>
    <col min="5" max="5" width="6.6640625" style="1" customWidth="1"/>
    <col min="6" max="6" width="1.6640625" style="1" customWidth="1"/>
    <col min="7" max="7" width="27" style="1" bestFit="1" customWidth="1"/>
    <col min="8" max="8" width="1.6640625" style="1" customWidth="1"/>
    <col min="9" max="9" width="7.6640625" style="1" bestFit="1" customWidth="1"/>
    <col min="10" max="10" width="1.6640625" style="1" customWidth="1"/>
    <col min="11" max="11" width="7.6640625" style="1" bestFit="1" customWidth="1"/>
    <col min="12" max="16384" width="9.33203125" style="1"/>
  </cols>
  <sheetData>
    <row r="1" spans="1:11" ht="11.25" customHeight="1">
      <c r="A1" s="304" t="s">
        <v>87</v>
      </c>
      <c r="B1" s="304"/>
      <c r="C1" s="304"/>
      <c r="D1" s="304"/>
      <c r="E1" s="304"/>
      <c r="F1" s="304"/>
      <c r="G1" s="304"/>
      <c r="H1" s="304"/>
      <c r="I1" s="304"/>
      <c r="J1" s="304"/>
      <c r="K1" s="304"/>
    </row>
    <row r="2" spans="1:11" ht="11.25" customHeight="1">
      <c r="A2" s="304" t="s">
        <v>185</v>
      </c>
      <c r="B2" s="304"/>
      <c r="C2" s="304"/>
      <c r="D2" s="304"/>
      <c r="E2" s="304"/>
      <c r="F2" s="304"/>
      <c r="G2" s="304"/>
      <c r="H2" s="304"/>
      <c r="I2" s="304"/>
      <c r="J2" s="304"/>
      <c r="K2" s="304"/>
    </row>
    <row r="3" spans="1:11" ht="11.25" customHeight="1">
      <c r="A3" s="307"/>
      <c r="B3" s="272"/>
      <c r="C3" s="272"/>
      <c r="D3" s="272"/>
      <c r="E3" s="272"/>
      <c r="F3" s="272"/>
      <c r="G3" s="272"/>
      <c r="H3" s="272"/>
      <c r="I3" s="272"/>
      <c r="J3" s="272"/>
      <c r="K3" s="272"/>
    </row>
    <row r="4" spans="1:11" ht="11.25" customHeight="1">
      <c r="A4" s="304" t="s">
        <v>88</v>
      </c>
      <c r="B4" s="304"/>
      <c r="C4" s="304"/>
      <c r="D4" s="304"/>
      <c r="E4" s="304"/>
      <c r="F4" s="304"/>
      <c r="G4" s="304"/>
      <c r="H4" s="304"/>
      <c r="I4" s="304"/>
      <c r="J4" s="304"/>
      <c r="K4" s="304"/>
    </row>
    <row r="5" spans="1:11" ht="11.25" customHeight="1">
      <c r="A5" s="308"/>
      <c r="B5" s="309"/>
      <c r="C5" s="309"/>
      <c r="D5" s="309"/>
      <c r="E5" s="309"/>
      <c r="F5" s="309"/>
      <c r="G5" s="309"/>
      <c r="H5" s="309"/>
      <c r="I5" s="309"/>
      <c r="J5" s="309"/>
      <c r="K5" s="309"/>
    </row>
    <row r="6" spans="1:11" ht="11.25" customHeight="1">
      <c r="A6" s="29" t="s">
        <v>89</v>
      </c>
      <c r="B6" s="19"/>
      <c r="C6" s="16" t="s">
        <v>241</v>
      </c>
      <c r="D6" s="20"/>
      <c r="E6" s="16" t="s">
        <v>276</v>
      </c>
      <c r="F6" s="19"/>
      <c r="G6" s="29" t="s">
        <v>89</v>
      </c>
      <c r="H6" s="19"/>
      <c r="I6" s="21" t="s">
        <v>241</v>
      </c>
      <c r="J6" s="20"/>
      <c r="K6" s="21" t="s">
        <v>276</v>
      </c>
    </row>
    <row r="7" spans="1:11" ht="11.25" customHeight="1">
      <c r="A7" s="39" t="s">
        <v>200</v>
      </c>
      <c r="B7" s="6"/>
      <c r="D7" s="6"/>
      <c r="F7" s="6"/>
      <c r="G7" s="39" t="s">
        <v>201</v>
      </c>
      <c r="H7" s="6"/>
      <c r="I7" s="5"/>
      <c r="J7" s="6"/>
      <c r="K7" s="5"/>
    </row>
    <row r="8" spans="1:11" ht="11.25" customHeight="1">
      <c r="A8" s="27" t="s">
        <v>32</v>
      </c>
      <c r="B8" s="7"/>
      <c r="C8" s="10">
        <v>174</v>
      </c>
      <c r="D8" s="66"/>
      <c r="E8" s="10">
        <v>337</v>
      </c>
      <c r="F8" s="7"/>
      <c r="G8" s="27" t="s">
        <v>53</v>
      </c>
      <c r="H8" s="7"/>
      <c r="I8" s="10">
        <v>244</v>
      </c>
      <c r="J8" s="31"/>
      <c r="K8" s="10">
        <v>253</v>
      </c>
    </row>
    <row r="9" spans="1:11" ht="11.25" customHeight="1">
      <c r="A9" s="27" t="s">
        <v>90</v>
      </c>
      <c r="B9" s="7"/>
      <c r="C9" s="24" t="s">
        <v>266</v>
      </c>
      <c r="D9" s="30"/>
      <c r="E9" s="26" t="s">
        <v>34</v>
      </c>
      <c r="F9" s="7"/>
      <c r="G9" s="27" t="s">
        <v>54</v>
      </c>
      <c r="H9" s="7"/>
      <c r="I9" s="11">
        <v>1160</v>
      </c>
      <c r="J9" s="31"/>
      <c r="K9" s="11">
        <v>1250</v>
      </c>
    </row>
    <row r="10" spans="1:11" ht="11.25" customHeight="1">
      <c r="A10" s="27" t="s">
        <v>33</v>
      </c>
      <c r="B10" s="7"/>
      <c r="C10" s="10">
        <v>93</v>
      </c>
      <c r="D10" s="30"/>
      <c r="E10" s="10">
        <v>126</v>
      </c>
      <c r="F10" s="7"/>
      <c r="G10" s="27" t="s">
        <v>55</v>
      </c>
      <c r="H10" s="7"/>
      <c r="I10" s="10">
        <v>512</v>
      </c>
      <c r="J10" s="31"/>
      <c r="K10" s="10">
        <v>603</v>
      </c>
    </row>
    <row r="11" spans="1:11" ht="11.25" customHeight="1">
      <c r="A11" s="27" t="s">
        <v>35</v>
      </c>
      <c r="B11" s="7"/>
      <c r="C11" s="10">
        <v>5</v>
      </c>
      <c r="D11" s="30"/>
      <c r="E11" s="23" t="s">
        <v>34</v>
      </c>
      <c r="F11" s="7"/>
      <c r="G11" s="27" t="s">
        <v>56</v>
      </c>
      <c r="H11" s="7"/>
      <c r="I11" s="10">
        <v>150</v>
      </c>
      <c r="J11" s="31"/>
      <c r="K11" s="10">
        <v>109</v>
      </c>
    </row>
    <row r="12" spans="1:11" ht="11.25" customHeight="1">
      <c r="A12" s="27" t="s">
        <v>36</v>
      </c>
      <c r="B12" s="7"/>
      <c r="C12" s="10">
        <v>1500</v>
      </c>
      <c r="D12" s="66"/>
      <c r="E12" s="10">
        <v>1440</v>
      </c>
      <c r="F12" s="7"/>
      <c r="G12" s="27" t="s">
        <v>57</v>
      </c>
      <c r="H12" s="7"/>
      <c r="I12" s="10">
        <v>1930</v>
      </c>
      <c r="J12" s="31"/>
      <c r="K12" s="23" t="s">
        <v>34</v>
      </c>
    </row>
    <row r="13" spans="1:11" ht="11.25" customHeight="1">
      <c r="A13" s="27" t="s">
        <v>37</v>
      </c>
      <c r="B13" s="7"/>
      <c r="C13" s="23" t="s">
        <v>34</v>
      </c>
      <c r="D13" s="30"/>
      <c r="E13" s="23" t="s">
        <v>34</v>
      </c>
      <c r="F13" s="7"/>
      <c r="G13" s="27" t="s">
        <v>58</v>
      </c>
      <c r="H13" s="7"/>
      <c r="I13" s="10">
        <v>742</v>
      </c>
      <c r="J13" s="31"/>
      <c r="K13" s="10">
        <v>715</v>
      </c>
    </row>
    <row r="14" spans="1:11" ht="11.25" customHeight="1">
      <c r="A14" s="27" t="s">
        <v>91</v>
      </c>
      <c r="B14" s="7"/>
      <c r="C14" s="10">
        <v>23</v>
      </c>
      <c r="D14" s="30"/>
      <c r="E14" s="10">
        <v>18</v>
      </c>
      <c r="F14" s="7"/>
      <c r="G14" s="27" t="s">
        <v>59</v>
      </c>
      <c r="H14" s="7"/>
      <c r="I14" s="10">
        <v>1410</v>
      </c>
      <c r="J14" s="31"/>
      <c r="K14" s="10">
        <v>1410</v>
      </c>
    </row>
    <row r="15" spans="1:11" ht="11.25" customHeight="1">
      <c r="A15" s="27" t="s">
        <v>92</v>
      </c>
      <c r="B15" s="7"/>
      <c r="C15" s="10">
        <v>18</v>
      </c>
      <c r="D15" s="30"/>
      <c r="E15" s="10">
        <v>18</v>
      </c>
      <c r="F15" s="7"/>
      <c r="G15" s="27" t="s">
        <v>93</v>
      </c>
      <c r="H15" s="7"/>
      <c r="I15" s="23" t="s">
        <v>34</v>
      </c>
      <c r="J15" s="31"/>
      <c r="K15" s="23" t="s">
        <v>34</v>
      </c>
    </row>
    <row r="16" spans="1:11" ht="11.25" customHeight="1">
      <c r="A16" s="27" t="s">
        <v>38</v>
      </c>
      <c r="B16" s="7"/>
      <c r="C16" s="10">
        <v>146</v>
      </c>
      <c r="D16" s="66" t="s">
        <v>225</v>
      </c>
      <c r="E16" s="23" t="s">
        <v>34</v>
      </c>
      <c r="F16" s="7"/>
      <c r="G16" s="27" t="s">
        <v>60</v>
      </c>
      <c r="H16" s="7"/>
      <c r="I16" s="10">
        <v>1410</v>
      </c>
      <c r="J16" s="31" t="s">
        <v>225</v>
      </c>
      <c r="K16" s="10">
        <v>1310</v>
      </c>
    </row>
    <row r="17" spans="1:11" ht="11.25" customHeight="1">
      <c r="A17" s="27" t="s">
        <v>39</v>
      </c>
      <c r="B17" s="7"/>
      <c r="C17" s="10">
        <v>530</v>
      </c>
      <c r="D17" s="30"/>
      <c r="E17" s="10">
        <v>511</v>
      </c>
      <c r="F17" s="7"/>
      <c r="G17" s="27" t="s">
        <v>61</v>
      </c>
      <c r="H17" s="7"/>
      <c r="I17" s="36">
        <v>53</v>
      </c>
      <c r="J17" s="31"/>
      <c r="K17" s="33" t="s">
        <v>34</v>
      </c>
    </row>
    <row r="18" spans="1:11" ht="11.25" customHeight="1">
      <c r="A18" s="27" t="s">
        <v>94</v>
      </c>
      <c r="B18" s="7"/>
      <c r="C18" s="23" t="s">
        <v>34</v>
      </c>
      <c r="D18" s="30"/>
      <c r="E18" s="23" t="s">
        <v>34</v>
      </c>
      <c r="F18" s="7"/>
      <c r="G18" s="27" t="s">
        <v>62</v>
      </c>
      <c r="H18" s="7"/>
      <c r="I18" s="10">
        <v>125</v>
      </c>
      <c r="J18" s="31"/>
      <c r="K18" s="33" t="s">
        <v>34</v>
      </c>
    </row>
    <row r="19" spans="1:11" ht="11.25" customHeight="1">
      <c r="A19" s="27" t="s">
        <v>40</v>
      </c>
      <c r="B19" s="7"/>
      <c r="C19" s="23" t="s">
        <v>34</v>
      </c>
      <c r="D19" s="30"/>
      <c r="E19" s="23" t="s">
        <v>34</v>
      </c>
      <c r="F19" s="7"/>
      <c r="G19" s="27" t="s">
        <v>95</v>
      </c>
      <c r="H19" s="7"/>
      <c r="I19" s="10">
        <v>20</v>
      </c>
      <c r="J19" s="31"/>
      <c r="K19" s="33" t="s">
        <v>34</v>
      </c>
    </row>
    <row r="20" spans="1:11" ht="11.25" customHeight="1">
      <c r="A20" s="27" t="s">
        <v>41</v>
      </c>
      <c r="B20" s="7"/>
      <c r="C20" s="10">
        <v>517</v>
      </c>
      <c r="D20" s="66"/>
      <c r="E20" s="10">
        <v>651</v>
      </c>
      <c r="F20" s="7"/>
      <c r="G20" s="27" t="s">
        <v>63</v>
      </c>
      <c r="H20" s="7"/>
      <c r="I20" s="23" t="s">
        <v>34</v>
      </c>
      <c r="J20" s="31"/>
      <c r="K20" s="23" t="s">
        <v>34</v>
      </c>
    </row>
    <row r="21" spans="1:11" ht="11.25" customHeight="1">
      <c r="A21" s="27" t="s">
        <v>42</v>
      </c>
      <c r="B21" s="7"/>
      <c r="C21" s="32" t="s">
        <v>34</v>
      </c>
      <c r="D21" s="30"/>
      <c r="E21" s="11">
        <v>248</v>
      </c>
      <c r="F21" s="7"/>
      <c r="G21" s="27" t="s">
        <v>64</v>
      </c>
      <c r="H21" s="7"/>
      <c r="I21" s="10">
        <v>7130</v>
      </c>
      <c r="J21" s="31"/>
      <c r="K21" s="10">
        <v>13900</v>
      </c>
    </row>
    <row r="22" spans="1:11" ht="11.25" customHeight="1">
      <c r="A22" s="27" t="s">
        <v>43</v>
      </c>
      <c r="B22" s="7"/>
      <c r="C22" s="23" t="s">
        <v>34</v>
      </c>
      <c r="D22" s="30"/>
      <c r="E22" s="10">
        <v>16</v>
      </c>
      <c r="F22" s="7"/>
      <c r="G22" s="27" t="s">
        <v>96</v>
      </c>
      <c r="H22" s="7"/>
      <c r="I22" s="23" t="s">
        <v>34</v>
      </c>
      <c r="J22" s="31"/>
      <c r="K22" s="23" t="s">
        <v>34</v>
      </c>
    </row>
    <row r="23" spans="1:11" ht="11.25" customHeight="1">
      <c r="A23" s="27" t="s">
        <v>44</v>
      </c>
      <c r="B23" s="7"/>
      <c r="C23" s="23" t="s">
        <v>34</v>
      </c>
      <c r="D23" s="30"/>
      <c r="E23" s="10">
        <v>69</v>
      </c>
      <c r="F23" s="7"/>
      <c r="G23" s="27" t="s">
        <v>97</v>
      </c>
      <c r="H23" s="7"/>
      <c r="I23" s="23" t="s">
        <v>34</v>
      </c>
      <c r="J23" s="31"/>
      <c r="K23" s="23" t="s">
        <v>34</v>
      </c>
    </row>
    <row r="24" spans="1:11" ht="11.25" customHeight="1">
      <c r="A24" s="27" t="s">
        <v>98</v>
      </c>
      <c r="B24" s="7"/>
      <c r="C24" s="23" t="s">
        <v>34</v>
      </c>
      <c r="D24" s="30"/>
      <c r="E24" s="23" t="s">
        <v>34</v>
      </c>
      <c r="F24" s="7"/>
      <c r="G24" s="27" t="s">
        <v>65</v>
      </c>
      <c r="H24" s="7"/>
      <c r="I24" s="32" t="s">
        <v>34</v>
      </c>
      <c r="J24" s="31"/>
      <c r="K24" s="11">
        <v>117</v>
      </c>
    </row>
    <row r="25" spans="1:11" ht="11.25" customHeight="1">
      <c r="A25" s="27" t="s">
        <v>45</v>
      </c>
      <c r="B25" s="7"/>
      <c r="C25" s="10">
        <v>534</v>
      </c>
      <c r="D25" s="30"/>
      <c r="E25" s="23" t="s">
        <v>34</v>
      </c>
      <c r="F25" s="7"/>
      <c r="G25" s="27" t="s">
        <v>66</v>
      </c>
      <c r="H25" s="7"/>
      <c r="I25" s="23" t="s">
        <v>34</v>
      </c>
      <c r="J25" s="31"/>
      <c r="K25" s="23" t="s">
        <v>34</v>
      </c>
    </row>
    <row r="26" spans="1:11" ht="11.25" customHeight="1">
      <c r="A26" s="27" t="s">
        <v>99</v>
      </c>
      <c r="B26" s="7"/>
      <c r="C26" s="10">
        <v>7</v>
      </c>
      <c r="D26" s="30"/>
      <c r="E26" s="10">
        <v>153</v>
      </c>
      <c r="F26" s="7"/>
      <c r="G26" s="27" t="s">
        <v>67</v>
      </c>
      <c r="H26" s="7"/>
      <c r="I26" s="11">
        <v>305</v>
      </c>
      <c r="J26" s="31"/>
      <c r="K26" s="11">
        <v>527</v>
      </c>
    </row>
    <row r="27" spans="1:11" ht="11.25" customHeight="1">
      <c r="A27" s="27" t="s">
        <v>46</v>
      </c>
      <c r="B27" s="7"/>
      <c r="C27" s="10">
        <v>84</v>
      </c>
      <c r="D27" s="30"/>
      <c r="E27" s="23" t="s">
        <v>34</v>
      </c>
      <c r="F27" s="7"/>
      <c r="G27" s="27" t="s">
        <v>68</v>
      </c>
      <c r="H27" s="7"/>
      <c r="I27" s="10">
        <v>274</v>
      </c>
      <c r="J27" s="31"/>
      <c r="K27" s="23" t="s">
        <v>34</v>
      </c>
    </row>
    <row r="28" spans="1:11" ht="11.25" customHeight="1">
      <c r="A28" s="27" t="s">
        <v>101</v>
      </c>
      <c r="B28" s="7"/>
      <c r="C28" s="11">
        <v>7</v>
      </c>
      <c r="D28" s="30"/>
      <c r="E28" s="11">
        <v>3</v>
      </c>
      <c r="F28" s="7"/>
      <c r="G28" s="27" t="s">
        <v>100</v>
      </c>
      <c r="H28" s="7"/>
      <c r="I28" s="23" t="s">
        <v>34</v>
      </c>
      <c r="J28" s="31"/>
      <c r="K28" s="23" t="s">
        <v>34</v>
      </c>
    </row>
    <row r="29" spans="1:11" ht="11.25" customHeight="1">
      <c r="A29" s="27" t="s">
        <v>48</v>
      </c>
      <c r="B29" s="7"/>
      <c r="C29" s="23" t="s">
        <v>34</v>
      </c>
      <c r="D29" s="30"/>
      <c r="E29" s="23" t="s">
        <v>34</v>
      </c>
      <c r="F29" s="7"/>
      <c r="G29" s="39" t="s">
        <v>102</v>
      </c>
      <c r="H29" s="7"/>
      <c r="I29" s="3"/>
      <c r="J29" s="31"/>
      <c r="K29" s="3"/>
    </row>
    <row r="30" spans="1:11" ht="11.25" customHeight="1">
      <c r="A30" s="27" t="s">
        <v>49</v>
      </c>
      <c r="B30" s="7"/>
      <c r="C30" s="10">
        <v>23</v>
      </c>
      <c r="D30" s="69"/>
      <c r="E30" s="10">
        <v>43</v>
      </c>
      <c r="F30" s="7"/>
      <c r="G30" s="27" t="s">
        <v>103</v>
      </c>
      <c r="H30" s="7"/>
      <c r="I30" s="32" t="s">
        <v>34</v>
      </c>
      <c r="J30" s="31"/>
      <c r="K30" s="32" t="s">
        <v>34</v>
      </c>
    </row>
    <row r="31" spans="1:11" ht="11.25" customHeight="1">
      <c r="A31" s="27" t="s">
        <v>50</v>
      </c>
      <c r="B31" s="7"/>
      <c r="C31" s="23" t="s">
        <v>34</v>
      </c>
      <c r="D31" s="30"/>
      <c r="E31" s="23" t="s">
        <v>34</v>
      </c>
      <c r="F31" s="7"/>
      <c r="G31" s="27" t="s">
        <v>104</v>
      </c>
      <c r="H31" s="7"/>
      <c r="I31" s="23" t="s">
        <v>34</v>
      </c>
      <c r="J31" s="31"/>
      <c r="K31" s="23" t="s">
        <v>34</v>
      </c>
    </row>
    <row r="32" spans="1:11" ht="11.25" customHeight="1">
      <c r="A32" s="27" t="s">
        <v>51</v>
      </c>
      <c r="B32" s="7"/>
      <c r="C32" s="10">
        <v>45</v>
      </c>
      <c r="D32" s="66"/>
      <c r="E32" s="10">
        <v>60</v>
      </c>
      <c r="F32" s="7"/>
      <c r="G32" s="27" t="s">
        <v>69</v>
      </c>
      <c r="H32" s="7"/>
      <c r="I32" s="26" t="s">
        <v>34</v>
      </c>
      <c r="J32" s="31"/>
      <c r="K32" s="26" t="s">
        <v>34</v>
      </c>
    </row>
    <row r="33" spans="1:15" ht="11.25" customHeight="1">
      <c r="A33" s="27" t="s">
        <v>106</v>
      </c>
      <c r="B33" s="7"/>
      <c r="C33" s="10">
        <v>23</v>
      </c>
      <c r="D33" s="66"/>
      <c r="E33" s="23" t="s">
        <v>34</v>
      </c>
      <c r="F33" s="7"/>
      <c r="G33" s="39" t="s">
        <v>105</v>
      </c>
      <c r="H33" s="7"/>
      <c r="I33" s="3"/>
      <c r="J33" s="31"/>
      <c r="K33" s="3"/>
    </row>
    <row r="34" spans="1:15" ht="11.25" customHeight="1">
      <c r="A34" s="27" t="s">
        <v>108</v>
      </c>
      <c r="B34" s="7"/>
      <c r="C34" s="10">
        <v>1</v>
      </c>
      <c r="D34" s="30"/>
      <c r="E34" s="23" t="s">
        <v>34</v>
      </c>
      <c r="F34" s="7"/>
      <c r="G34" s="27" t="s">
        <v>107</v>
      </c>
      <c r="H34" s="7"/>
      <c r="I34" s="10">
        <v>306</v>
      </c>
      <c r="J34" s="31"/>
      <c r="K34" s="26" t="s">
        <v>47</v>
      </c>
      <c r="O34" s="2"/>
    </row>
    <row r="35" spans="1:15" ht="11.25" customHeight="1">
      <c r="A35" s="27" t="s">
        <v>52</v>
      </c>
      <c r="B35" s="7"/>
      <c r="C35" s="10">
        <v>38</v>
      </c>
      <c r="D35" s="30"/>
      <c r="E35" s="10">
        <v>40</v>
      </c>
      <c r="F35" s="7"/>
      <c r="G35" s="27" t="s">
        <v>109</v>
      </c>
      <c r="H35" s="7"/>
      <c r="I35" s="33" t="s">
        <v>47</v>
      </c>
      <c r="J35" s="31"/>
      <c r="K35" s="33" t="s">
        <v>47</v>
      </c>
    </row>
    <row r="36" spans="1:15" ht="11.25" customHeight="1">
      <c r="A36" s="71" t="s">
        <v>111</v>
      </c>
      <c r="B36" s="7"/>
      <c r="C36" s="43" t="s">
        <v>34</v>
      </c>
      <c r="D36" s="30"/>
      <c r="E36" s="43" t="s">
        <v>34</v>
      </c>
      <c r="F36" s="7"/>
      <c r="G36" s="27" t="s">
        <v>110</v>
      </c>
      <c r="H36" s="7"/>
      <c r="I36" s="11">
        <v>68500</v>
      </c>
      <c r="J36" s="34" t="s">
        <v>225</v>
      </c>
      <c r="K36" s="11">
        <v>77600</v>
      </c>
      <c r="M36" s="2"/>
    </row>
    <row r="37" spans="1:15" ht="11.25" customHeight="1">
      <c r="F37" s="9"/>
      <c r="G37" s="28" t="s">
        <v>6</v>
      </c>
      <c r="H37" s="9"/>
      <c r="I37" s="22">
        <v>91200</v>
      </c>
      <c r="J37" s="35" t="s">
        <v>225</v>
      </c>
      <c r="K37" s="22">
        <v>114000</v>
      </c>
      <c r="M37" s="2"/>
    </row>
    <row r="38" spans="1:15" ht="11.25" customHeight="1">
      <c r="A38" s="305" t="s">
        <v>220</v>
      </c>
      <c r="B38" s="305"/>
      <c r="C38" s="305"/>
      <c r="D38" s="305"/>
      <c r="E38" s="305"/>
      <c r="F38" s="305"/>
      <c r="G38" s="305"/>
      <c r="H38" s="305"/>
      <c r="I38" s="305"/>
      <c r="J38" s="305"/>
      <c r="K38" s="305"/>
      <c r="M38" s="2"/>
    </row>
    <row r="39" spans="1:15" ht="22.5" customHeight="1">
      <c r="A39" s="306" t="s">
        <v>285</v>
      </c>
      <c r="B39" s="306"/>
      <c r="C39" s="306"/>
      <c r="D39" s="306"/>
      <c r="E39" s="306"/>
      <c r="F39" s="306"/>
      <c r="G39" s="306"/>
      <c r="H39" s="306"/>
      <c r="I39" s="306"/>
      <c r="J39" s="306"/>
      <c r="K39" s="306"/>
    </row>
    <row r="40" spans="1:15" ht="11.25" customHeight="1">
      <c r="A40" s="303" t="s">
        <v>267</v>
      </c>
      <c r="B40" s="290"/>
      <c r="C40" s="290"/>
      <c r="D40" s="290"/>
      <c r="E40" s="290"/>
      <c r="F40" s="290"/>
      <c r="G40" s="290"/>
      <c r="H40" s="290"/>
      <c r="I40" s="290"/>
      <c r="J40" s="290"/>
      <c r="K40" s="290"/>
    </row>
    <row r="42" spans="1:15" ht="11.25" customHeight="1">
      <c r="C42" s="2"/>
      <c r="E42" s="2"/>
      <c r="I42" s="2"/>
      <c r="K42" s="2"/>
    </row>
    <row r="44" spans="1:15" ht="11.25" customHeight="1">
      <c r="I44" s="2"/>
      <c r="K44" s="2"/>
    </row>
  </sheetData>
  <mergeCells count="8">
    <mergeCell ref="A40:K40"/>
    <mergeCell ref="A1:K1"/>
    <mergeCell ref="A2:K2"/>
    <mergeCell ref="A4:K4"/>
    <mergeCell ref="A38:K38"/>
    <mergeCell ref="A39:K39"/>
    <mergeCell ref="A3:K3"/>
    <mergeCell ref="A5:K5"/>
  </mergeCells>
  <pageMargins left="0.5" right="0.5" top="0.5" bottom="0.7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2B7A-5140-4906-94DE-046843F2B492}">
  <dimension ref="A1:L66"/>
  <sheetViews>
    <sheetView zoomScaleNormal="100" workbookViewId="0">
      <selection sqref="A1:I1"/>
    </sheetView>
  </sheetViews>
  <sheetFormatPr defaultColWidth="9.33203125" defaultRowHeight="11.25" customHeight="1"/>
  <cols>
    <col min="1" max="1" width="3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11" style="1" customWidth="1"/>
    <col min="10" max="16384" width="9.33203125" style="1"/>
  </cols>
  <sheetData>
    <row r="1" spans="1:10" ht="11.25" customHeight="1">
      <c r="A1" s="280" t="s">
        <v>112</v>
      </c>
      <c r="B1" s="280"/>
      <c r="C1" s="280"/>
      <c r="D1" s="280"/>
      <c r="E1" s="280"/>
      <c r="F1" s="280"/>
      <c r="G1" s="280"/>
      <c r="H1" s="280"/>
      <c r="I1" s="280"/>
    </row>
    <row r="2" spans="1:10" ht="11.25" customHeight="1">
      <c r="A2" s="280" t="s">
        <v>221</v>
      </c>
      <c r="B2" s="280"/>
      <c r="C2" s="280"/>
      <c r="D2" s="280"/>
      <c r="E2" s="280"/>
      <c r="F2" s="280"/>
      <c r="G2" s="280"/>
      <c r="H2" s="280"/>
      <c r="I2" s="280"/>
      <c r="J2" s="53"/>
    </row>
    <row r="3" spans="1:10" ht="11.25" customHeight="1">
      <c r="A3" s="271"/>
      <c r="B3" s="272"/>
      <c r="C3" s="272"/>
      <c r="D3" s="272"/>
      <c r="E3" s="272"/>
      <c r="F3" s="272"/>
      <c r="G3" s="272"/>
      <c r="H3" s="272"/>
      <c r="I3" s="272"/>
    </row>
    <row r="4" spans="1:10" ht="11.25" customHeight="1">
      <c r="A4" s="280" t="s">
        <v>29</v>
      </c>
      <c r="B4" s="280"/>
      <c r="C4" s="280"/>
      <c r="D4" s="280"/>
      <c r="E4" s="280"/>
      <c r="F4" s="280"/>
      <c r="G4" s="280"/>
      <c r="H4" s="280"/>
      <c r="I4" s="280"/>
    </row>
    <row r="5" spans="1:10" ht="11.25" customHeight="1">
      <c r="A5" s="273"/>
      <c r="B5" s="281"/>
      <c r="C5" s="281"/>
      <c r="D5" s="281"/>
      <c r="E5" s="281"/>
      <c r="F5" s="281"/>
      <c r="G5" s="281"/>
      <c r="H5" s="281"/>
      <c r="I5" s="281"/>
    </row>
    <row r="6" spans="1:10" ht="11.25" customHeight="1">
      <c r="A6" s="44"/>
      <c r="B6" s="45"/>
      <c r="C6" s="282" t="s">
        <v>241</v>
      </c>
      <c r="D6" s="283"/>
      <c r="E6" s="283"/>
      <c r="F6" s="45"/>
      <c r="G6" s="282" t="s">
        <v>276</v>
      </c>
      <c r="H6" s="283"/>
      <c r="I6" s="283"/>
    </row>
    <row r="7" spans="1:10" ht="11.25" customHeight="1">
      <c r="A7" s="176" t="s">
        <v>222</v>
      </c>
      <c r="B7" s="105"/>
      <c r="C7" s="176" t="s">
        <v>9</v>
      </c>
      <c r="D7" s="105"/>
      <c r="E7" s="176" t="s">
        <v>183</v>
      </c>
      <c r="F7" s="105"/>
      <c r="G7" s="176" t="s">
        <v>9</v>
      </c>
      <c r="H7" s="105"/>
      <c r="I7" s="176" t="s">
        <v>183</v>
      </c>
    </row>
    <row r="8" spans="1:10" ht="11.25" customHeight="1">
      <c r="A8" s="148" t="s">
        <v>113</v>
      </c>
      <c r="B8" s="103"/>
      <c r="C8" s="106"/>
      <c r="D8" s="103"/>
      <c r="E8" s="106"/>
      <c r="F8" s="103"/>
      <c r="G8" s="106"/>
      <c r="H8" s="103"/>
      <c r="I8" s="106"/>
    </row>
    <row r="9" spans="1:10" ht="11.25" customHeight="1">
      <c r="A9" s="52" t="s">
        <v>141</v>
      </c>
      <c r="B9" s="103"/>
      <c r="C9" s="18">
        <v>1</v>
      </c>
      <c r="D9" s="2"/>
      <c r="E9" s="10">
        <v>366</v>
      </c>
      <c r="F9" s="103"/>
      <c r="G9" s="24" t="s">
        <v>179</v>
      </c>
      <c r="H9" s="2"/>
      <c r="I9" s="10">
        <v>351</v>
      </c>
    </row>
    <row r="10" spans="1:10" ht="11.25" customHeight="1">
      <c r="A10" s="52" t="s">
        <v>205</v>
      </c>
      <c r="B10" s="103"/>
      <c r="C10" s="18">
        <v>1</v>
      </c>
      <c r="D10" s="2"/>
      <c r="E10" s="10">
        <v>379</v>
      </c>
      <c r="F10" s="103"/>
      <c r="G10" s="18">
        <v>1</v>
      </c>
      <c r="H10" s="2"/>
      <c r="I10" s="10">
        <v>443</v>
      </c>
    </row>
    <row r="11" spans="1:10" ht="11.25" customHeight="1">
      <c r="A11" s="52" t="s">
        <v>204</v>
      </c>
      <c r="B11" s="103"/>
      <c r="C11" s="24" t="s">
        <v>179</v>
      </c>
      <c r="D11" s="2"/>
      <c r="E11" s="10">
        <v>48</v>
      </c>
      <c r="F11" s="103"/>
      <c r="G11" s="24" t="s">
        <v>179</v>
      </c>
      <c r="H11" s="2"/>
      <c r="I11" s="10">
        <v>116</v>
      </c>
    </row>
    <row r="12" spans="1:10" ht="11.25" customHeight="1">
      <c r="A12" s="52" t="s">
        <v>69</v>
      </c>
      <c r="B12" s="103"/>
      <c r="C12" s="24" t="s">
        <v>179</v>
      </c>
      <c r="D12" s="10"/>
      <c r="E12" s="149">
        <v>458</v>
      </c>
      <c r="F12" s="172"/>
      <c r="G12" s="18">
        <v>1</v>
      </c>
      <c r="H12" s="10"/>
      <c r="I12" s="149">
        <v>657</v>
      </c>
    </row>
    <row r="13" spans="1:10" ht="11.25" customHeight="1">
      <c r="A13" s="60" t="s">
        <v>6</v>
      </c>
      <c r="B13" s="103"/>
      <c r="C13" s="65">
        <v>2</v>
      </c>
      <c r="D13" s="65"/>
      <c r="E13" s="65">
        <v>1250</v>
      </c>
      <c r="F13" s="150"/>
      <c r="G13" s="65">
        <v>2</v>
      </c>
      <c r="H13" s="65"/>
      <c r="I13" s="65">
        <v>1570</v>
      </c>
      <c r="J13" s="2"/>
    </row>
    <row r="14" spans="1:10" ht="11.25" customHeight="1">
      <c r="A14" s="50" t="s">
        <v>114</v>
      </c>
      <c r="B14" s="103"/>
      <c r="C14" s="10"/>
      <c r="D14" s="10"/>
      <c r="E14" s="10"/>
      <c r="F14" s="151"/>
      <c r="G14" s="10"/>
      <c r="H14" s="10"/>
      <c r="I14" s="10"/>
    </row>
    <row r="15" spans="1:10" ht="11.25" customHeight="1">
      <c r="A15" s="52" t="s">
        <v>248</v>
      </c>
      <c r="B15" s="103"/>
      <c r="C15" s="10">
        <v>50</v>
      </c>
      <c r="D15" s="10"/>
      <c r="E15" s="10">
        <v>85000</v>
      </c>
      <c r="F15" s="25"/>
      <c r="G15" s="10">
        <v>168</v>
      </c>
      <c r="H15" s="10"/>
      <c r="I15" s="10">
        <v>142000</v>
      </c>
    </row>
    <row r="16" spans="1:10" ht="11.25" customHeight="1">
      <c r="A16" s="52" t="s">
        <v>206</v>
      </c>
      <c r="B16" s="103"/>
      <c r="C16" s="18">
        <v>3</v>
      </c>
      <c r="D16" s="10"/>
      <c r="E16" s="10">
        <v>2980</v>
      </c>
      <c r="F16" s="151"/>
      <c r="G16" s="18">
        <v>3</v>
      </c>
      <c r="H16" s="10"/>
      <c r="I16" s="10">
        <v>3150</v>
      </c>
    </row>
    <row r="17" spans="1:10" ht="11.25" customHeight="1">
      <c r="A17" s="52" t="s">
        <v>115</v>
      </c>
      <c r="B17" s="103"/>
      <c r="C17" s="10">
        <v>315</v>
      </c>
      <c r="D17" s="25" t="s">
        <v>225</v>
      </c>
      <c r="E17" s="10">
        <v>55800</v>
      </c>
      <c r="F17" s="25" t="s">
        <v>225</v>
      </c>
      <c r="G17" s="10">
        <v>390</v>
      </c>
      <c r="H17" s="10"/>
      <c r="I17" s="10">
        <v>69500</v>
      </c>
    </row>
    <row r="18" spans="1:10" ht="11.25" customHeight="1">
      <c r="A18" s="52" t="s">
        <v>116</v>
      </c>
      <c r="B18" s="103"/>
      <c r="C18" s="18">
        <v>1</v>
      </c>
      <c r="D18" s="10"/>
      <c r="E18" s="10">
        <v>665</v>
      </c>
      <c r="F18" s="25"/>
      <c r="G18" s="18">
        <v>3</v>
      </c>
      <c r="H18" s="10"/>
      <c r="I18" s="10">
        <v>1400</v>
      </c>
    </row>
    <row r="19" spans="1:10" ht="11.25" customHeight="1">
      <c r="A19" s="52" t="s">
        <v>117</v>
      </c>
      <c r="B19" s="103"/>
      <c r="C19" s="18">
        <v>1</v>
      </c>
      <c r="D19" s="10"/>
      <c r="E19" s="10">
        <v>350</v>
      </c>
      <c r="F19" s="151"/>
      <c r="G19" s="18">
        <v>1</v>
      </c>
      <c r="H19" s="10"/>
      <c r="I19" s="10">
        <v>485</v>
      </c>
    </row>
    <row r="20" spans="1:10" ht="11.25" customHeight="1">
      <c r="A20" s="52" t="s">
        <v>118</v>
      </c>
      <c r="B20" s="103"/>
      <c r="C20" s="24" t="s">
        <v>179</v>
      </c>
      <c r="D20" s="10"/>
      <c r="E20" s="10">
        <v>622</v>
      </c>
      <c r="F20" s="25"/>
      <c r="G20" s="18">
        <v>1</v>
      </c>
      <c r="H20" s="10"/>
      <c r="I20" s="10">
        <v>1630</v>
      </c>
    </row>
    <row r="21" spans="1:10" ht="11.25" customHeight="1">
      <c r="A21" s="52" t="s">
        <v>207</v>
      </c>
      <c r="B21" s="103"/>
      <c r="C21" s="10">
        <v>1</v>
      </c>
      <c r="D21" s="10"/>
      <c r="E21" s="10">
        <v>570</v>
      </c>
      <c r="F21" s="151"/>
      <c r="G21" s="10">
        <v>1</v>
      </c>
      <c r="H21" s="10"/>
      <c r="I21" s="10">
        <v>801</v>
      </c>
    </row>
    <row r="22" spans="1:10" ht="11.25" customHeight="1">
      <c r="A22" s="52" t="s">
        <v>69</v>
      </c>
      <c r="B22" s="103"/>
      <c r="C22" s="149">
        <v>2</v>
      </c>
      <c r="D22" s="10"/>
      <c r="E22" s="149">
        <v>1410</v>
      </c>
      <c r="F22" s="172"/>
      <c r="G22" s="149">
        <v>6</v>
      </c>
      <c r="H22" s="10"/>
      <c r="I22" s="149">
        <v>3530</v>
      </c>
    </row>
    <row r="23" spans="1:10" ht="11.25" customHeight="1">
      <c r="A23" s="60" t="s">
        <v>6</v>
      </c>
      <c r="B23" s="103"/>
      <c r="C23" s="65">
        <v>372</v>
      </c>
      <c r="D23" s="42" t="s">
        <v>225</v>
      </c>
      <c r="E23" s="65">
        <v>147000</v>
      </c>
      <c r="F23" s="42" t="s">
        <v>225</v>
      </c>
      <c r="G23" s="65">
        <v>573</v>
      </c>
      <c r="H23" s="65"/>
      <c r="I23" s="65">
        <v>223000</v>
      </c>
      <c r="J23" s="2"/>
    </row>
    <row r="24" spans="1:10" ht="11.25" customHeight="1">
      <c r="A24" s="50" t="s">
        <v>279</v>
      </c>
      <c r="B24" s="103"/>
      <c r="C24" s="10"/>
      <c r="D24" s="10"/>
      <c r="E24" s="10"/>
      <c r="F24" s="151"/>
      <c r="G24" s="10"/>
      <c r="H24" s="10"/>
      <c r="I24" s="10"/>
    </row>
    <row r="25" spans="1:10" ht="11.25" customHeight="1">
      <c r="A25" s="52" t="s">
        <v>119</v>
      </c>
      <c r="B25" s="103"/>
      <c r="C25" s="10">
        <v>2</v>
      </c>
      <c r="D25" s="10"/>
      <c r="E25" s="10">
        <v>805</v>
      </c>
      <c r="F25" s="151"/>
      <c r="G25" s="10">
        <v>7</v>
      </c>
      <c r="H25" s="10"/>
      <c r="I25" s="10">
        <v>1800</v>
      </c>
    </row>
    <row r="26" spans="1:10" ht="11.25" customHeight="1">
      <c r="A26" s="52" t="s">
        <v>275</v>
      </c>
      <c r="B26" s="103"/>
      <c r="C26" s="10">
        <v>2</v>
      </c>
      <c r="D26" s="10"/>
      <c r="E26" s="10">
        <v>341</v>
      </c>
      <c r="F26" s="151"/>
      <c r="G26" s="10">
        <v>3</v>
      </c>
      <c r="H26" s="10"/>
      <c r="I26" s="10">
        <v>491</v>
      </c>
    </row>
    <row r="27" spans="1:10" ht="11.25" customHeight="1">
      <c r="A27" s="52" t="s">
        <v>208</v>
      </c>
      <c r="B27" s="103"/>
      <c r="C27" s="10">
        <v>13</v>
      </c>
      <c r="D27" s="10"/>
      <c r="E27" s="10">
        <v>5880</v>
      </c>
      <c r="F27" s="151"/>
      <c r="G27" s="10">
        <v>9</v>
      </c>
      <c r="H27" s="10"/>
      <c r="I27" s="10">
        <v>2840</v>
      </c>
    </row>
    <row r="28" spans="1:10" ht="11.25" customHeight="1">
      <c r="A28" s="52" t="s">
        <v>120</v>
      </c>
      <c r="B28" s="103"/>
      <c r="C28" s="10">
        <v>35</v>
      </c>
      <c r="D28" s="10"/>
      <c r="E28" s="10">
        <v>34800</v>
      </c>
      <c r="F28" s="25"/>
      <c r="G28" s="10">
        <v>23</v>
      </c>
      <c r="H28" s="10"/>
      <c r="I28" s="10">
        <v>35200</v>
      </c>
    </row>
    <row r="29" spans="1:10" ht="11.25" customHeight="1">
      <c r="A29" s="52" t="s">
        <v>122</v>
      </c>
      <c r="B29" s="103"/>
      <c r="C29" s="10">
        <v>3</v>
      </c>
      <c r="D29" s="10"/>
      <c r="E29" s="10">
        <v>2330</v>
      </c>
      <c r="F29" s="25"/>
      <c r="G29" s="10">
        <v>11</v>
      </c>
      <c r="H29" s="10"/>
      <c r="I29" s="10">
        <v>2090</v>
      </c>
    </row>
    <row r="30" spans="1:10" ht="11.25" customHeight="1">
      <c r="A30" s="52" t="s">
        <v>209</v>
      </c>
      <c r="B30" s="103"/>
      <c r="C30" s="10">
        <v>27</v>
      </c>
      <c r="D30" s="10"/>
      <c r="E30" s="10">
        <v>20600</v>
      </c>
      <c r="F30" s="151"/>
      <c r="G30" s="10">
        <v>31</v>
      </c>
      <c r="H30" s="10"/>
      <c r="I30" s="10">
        <v>22200</v>
      </c>
    </row>
    <row r="31" spans="1:10" ht="11.25" customHeight="1">
      <c r="A31" s="52" t="s">
        <v>268</v>
      </c>
      <c r="B31" s="103"/>
      <c r="C31" s="152" t="s">
        <v>179</v>
      </c>
      <c r="D31" s="10"/>
      <c r="E31" s="10">
        <v>481</v>
      </c>
      <c r="F31" s="151"/>
      <c r="G31" s="153">
        <v>2</v>
      </c>
      <c r="H31" s="10"/>
      <c r="I31" s="10">
        <v>364</v>
      </c>
    </row>
    <row r="32" spans="1:10" ht="11.25" customHeight="1">
      <c r="A32" s="52" t="s">
        <v>269</v>
      </c>
      <c r="B32" s="103"/>
      <c r="C32" s="153">
        <v>4</v>
      </c>
      <c r="D32" s="10"/>
      <c r="E32" s="10">
        <v>3160</v>
      </c>
      <c r="F32" s="151"/>
      <c r="G32" s="153">
        <v>12</v>
      </c>
      <c r="H32" s="10"/>
      <c r="I32" s="10">
        <v>3840</v>
      </c>
    </row>
    <row r="33" spans="1:11" ht="11.25" customHeight="1">
      <c r="A33" s="52" t="s">
        <v>124</v>
      </c>
      <c r="B33" s="103"/>
      <c r="C33" s="10">
        <v>2</v>
      </c>
      <c r="D33" s="10"/>
      <c r="E33" s="10">
        <v>3040</v>
      </c>
      <c r="F33" s="151"/>
      <c r="G33" s="10">
        <v>3</v>
      </c>
      <c r="H33" s="10"/>
      <c r="I33" s="10">
        <v>4770</v>
      </c>
    </row>
    <row r="34" spans="1:11" ht="11.25" customHeight="1">
      <c r="A34" s="52" t="s">
        <v>69</v>
      </c>
      <c r="B34" s="103"/>
      <c r="C34" s="154">
        <v>1</v>
      </c>
      <c r="D34" s="10"/>
      <c r="E34" s="149">
        <v>1050</v>
      </c>
      <c r="F34" s="172"/>
      <c r="G34" s="154">
        <v>2</v>
      </c>
      <c r="H34" s="10"/>
      <c r="I34" s="149">
        <v>1070</v>
      </c>
      <c r="K34" s="2"/>
    </row>
    <row r="35" spans="1:11" ht="11.25" customHeight="1">
      <c r="A35" s="60" t="s">
        <v>6</v>
      </c>
      <c r="B35" s="103"/>
      <c r="C35" s="65">
        <v>88</v>
      </c>
      <c r="D35" s="65"/>
      <c r="E35" s="65">
        <v>72400</v>
      </c>
      <c r="F35" s="150"/>
      <c r="G35" s="65">
        <v>104</v>
      </c>
      <c r="H35" s="65"/>
      <c r="I35" s="65">
        <v>74700</v>
      </c>
    </row>
    <row r="36" spans="1:11" ht="11.25" customHeight="1">
      <c r="A36" s="50" t="s">
        <v>125</v>
      </c>
      <c r="B36" s="103"/>
      <c r="C36" s="10"/>
      <c r="D36" s="10"/>
      <c r="E36" s="10"/>
      <c r="F36" s="151"/>
      <c r="G36" s="10"/>
      <c r="H36" s="10"/>
      <c r="I36" s="10"/>
    </row>
    <row r="37" spans="1:11" ht="11.25" customHeight="1">
      <c r="A37" s="52" t="s">
        <v>126</v>
      </c>
      <c r="B37" s="103"/>
      <c r="C37" s="10">
        <v>1</v>
      </c>
      <c r="D37" s="10"/>
      <c r="E37" s="10">
        <v>463</v>
      </c>
      <c r="F37" s="151"/>
      <c r="G37" s="10">
        <v>4</v>
      </c>
      <c r="H37" s="10"/>
      <c r="I37" s="10">
        <v>603</v>
      </c>
    </row>
    <row r="38" spans="1:11" ht="11.25" customHeight="1">
      <c r="A38" s="52" t="s">
        <v>103</v>
      </c>
      <c r="B38" s="103"/>
      <c r="C38" s="10">
        <v>4530</v>
      </c>
      <c r="D38" s="10"/>
      <c r="E38" s="10">
        <v>227000</v>
      </c>
      <c r="F38" s="25"/>
      <c r="G38" s="10">
        <v>5270</v>
      </c>
      <c r="H38" s="10"/>
      <c r="I38" s="10">
        <v>252000</v>
      </c>
    </row>
    <row r="39" spans="1:11" ht="11.25" customHeight="1">
      <c r="A39" s="52" t="s">
        <v>211</v>
      </c>
      <c r="B39" s="103"/>
      <c r="C39" s="18">
        <v>1</v>
      </c>
      <c r="D39" s="10"/>
      <c r="E39" s="10">
        <v>385</v>
      </c>
      <c r="F39" s="25"/>
      <c r="G39" s="18">
        <v>1</v>
      </c>
      <c r="H39" s="10"/>
      <c r="I39" s="10">
        <v>453</v>
      </c>
    </row>
    <row r="40" spans="1:11" ht="11.25" customHeight="1">
      <c r="A40" s="52" t="s">
        <v>212</v>
      </c>
      <c r="B40" s="103"/>
      <c r="C40" s="10">
        <v>3</v>
      </c>
      <c r="D40" s="10"/>
      <c r="E40" s="10">
        <v>1360</v>
      </c>
      <c r="F40" s="25"/>
      <c r="G40" s="10">
        <v>3</v>
      </c>
      <c r="H40" s="10"/>
      <c r="I40" s="10">
        <v>1020</v>
      </c>
    </row>
    <row r="41" spans="1:11" ht="11.25" customHeight="1">
      <c r="A41" s="52" t="s">
        <v>210</v>
      </c>
      <c r="B41" s="103"/>
      <c r="C41" s="10">
        <v>3</v>
      </c>
      <c r="D41" s="10"/>
      <c r="E41" s="10">
        <v>718</v>
      </c>
      <c r="F41" s="151"/>
      <c r="G41" s="10">
        <v>2</v>
      </c>
      <c r="H41" s="10"/>
      <c r="I41" s="10">
        <v>684</v>
      </c>
    </row>
    <row r="42" spans="1:11" ht="11.25" customHeight="1">
      <c r="A42" s="52" t="s">
        <v>104</v>
      </c>
      <c r="B42" s="103"/>
      <c r="C42" s="10">
        <v>365</v>
      </c>
      <c r="D42" s="25" t="s">
        <v>225</v>
      </c>
      <c r="E42" s="10">
        <v>63700</v>
      </c>
      <c r="F42" s="25" t="s">
        <v>225</v>
      </c>
      <c r="G42" s="10">
        <v>375</v>
      </c>
      <c r="H42" s="10"/>
      <c r="I42" s="10">
        <v>58500</v>
      </c>
    </row>
    <row r="43" spans="1:11" ht="11.25" customHeight="1">
      <c r="A43" s="52" t="s">
        <v>127</v>
      </c>
      <c r="B43" s="103"/>
      <c r="C43" s="24" t="s">
        <v>179</v>
      </c>
      <c r="D43" s="10"/>
      <c r="E43" s="10">
        <v>152</v>
      </c>
      <c r="F43" s="151"/>
      <c r="G43" s="24" t="s">
        <v>179</v>
      </c>
      <c r="H43" s="10"/>
      <c r="I43" s="10">
        <v>84</v>
      </c>
    </row>
    <row r="44" spans="1:11" ht="11.25" customHeight="1">
      <c r="A44" s="52" t="s">
        <v>69</v>
      </c>
      <c r="B44" s="103"/>
      <c r="C44" s="149">
        <v>2</v>
      </c>
      <c r="D44" s="10"/>
      <c r="E44" s="149">
        <v>1400</v>
      </c>
      <c r="F44" s="172"/>
      <c r="G44" s="149">
        <v>9</v>
      </c>
      <c r="H44" s="10"/>
      <c r="I44" s="149">
        <v>2500</v>
      </c>
    </row>
    <row r="45" spans="1:11" ht="11.25" customHeight="1">
      <c r="A45" s="60" t="s">
        <v>6</v>
      </c>
      <c r="B45" s="103"/>
      <c r="C45" s="65">
        <v>4910</v>
      </c>
      <c r="D45" s="42" t="s">
        <v>225</v>
      </c>
      <c r="E45" s="65">
        <v>295000</v>
      </c>
      <c r="F45" s="150"/>
      <c r="G45" s="65">
        <v>5660</v>
      </c>
      <c r="H45" s="65"/>
      <c r="I45" s="65">
        <v>316000</v>
      </c>
    </row>
    <row r="46" spans="1:11" ht="11.25" customHeight="1">
      <c r="A46" s="50" t="s">
        <v>128</v>
      </c>
      <c r="B46" s="103"/>
      <c r="C46" s="10"/>
      <c r="D46" s="10"/>
      <c r="E46" s="10"/>
      <c r="F46" s="151"/>
      <c r="G46" s="10"/>
      <c r="H46" s="10"/>
      <c r="I46" s="10"/>
    </row>
    <row r="47" spans="1:11" ht="11.25" customHeight="1">
      <c r="A47" s="52" t="s">
        <v>129</v>
      </c>
      <c r="B47" s="103"/>
      <c r="C47" s="18">
        <v>4</v>
      </c>
      <c r="D47" s="10"/>
      <c r="E47" s="10">
        <v>5540</v>
      </c>
      <c r="F47" s="151"/>
      <c r="G47" s="18">
        <v>4</v>
      </c>
      <c r="H47" s="10"/>
      <c r="I47" s="10">
        <v>4020</v>
      </c>
    </row>
    <row r="48" spans="1:11" ht="11.25" customHeight="1">
      <c r="A48" s="52" t="s">
        <v>280</v>
      </c>
      <c r="B48" s="103"/>
      <c r="C48" s="26" t="s">
        <v>47</v>
      </c>
      <c r="D48" s="10"/>
      <c r="E48" s="26" t="s">
        <v>47</v>
      </c>
      <c r="F48" s="151"/>
      <c r="G48" s="24" t="s">
        <v>179</v>
      </c>
      <c r="H48" s="10"/>
      <c r="I48" s="18">
        <v>42</v>
      </c>
    </row>
    <row r="49" spans="1:12" ht="11.25" customHeight="1">
      <c r="A49" s="52" t="s">
        <v>130</v>
      </c>
      <c r="B49" s="103"/>
      <c r="C49" s="24" t="s">
        <v>179</v>
      </c>
      <c r="D49" s="10"/>
      <c r="E49" s="10">
        <v>184</v>
      </c>
      <c r="F49" s="151"/>
      <c r="G49" s="24" t="s">
        <v>179</v>
      </c>
      <c r="H49" s="10"/>
      <c r="I49" s="10">
        <v>435</v>
      </c>
    </row>
    <row r="50" spans="1:12" ht="11.25" customHeight="1">
      <c r="A50" s="60" t="s">
        <v>6</v>
      </c>
      <c r="B50" s="103"/>
      <c r="C50" s="64">
        <v>4</v>
      </c>
      <c r="D50" s="65"/>
      <c r="E50" s="65">
        <v>5720</v>
      </c>
      <c r="F50" s="155"/>
      <c r="G50" s="64">
        <v>4</v>
      </c>
      <c r="H50" s="65"/>
      <c r="I50" s="65">
        <v>4500</v>
      </c>
    </row>
    <row r="51" spans="1:12" ht="11.25" customHeight="1">
      <c r="A51" s="50" t="s">
        <v>131</v>
      </c>
      <c r="B51" s="103"/>
      <c r="C51" s="10"/>
      <c r="D51" s="10"/>
      <c r="E51" s="10"/>
      <c r="F51" s="151"/>
      <c r="G51" s="10"/>
      <c r="H51" s="10"/>
      <c r="I51" s="10"/>
    </row>
    <row r="52" spans="1:12" ht="11.25" customHeight="1">
      <c r="A52" s="52" t="s">
        <v>132</v>
      </c>
      <c r="B52" s="103"/>
      <c r="C52" s="10">
        <v>25</v>
      </c>
      <c r="D52" s="25"/>
      <c r="E52" s="10">
        <v>8890</v>
      </c>
      <c r="F52" s="25"/>
      <c r="G52" s="10">
        <v>16</v>
      </c>
      <c r="H52" s="10"/>
      <c r="I52" s="10">
        <v>6480</v>
      </c>
    </row>
    <row r="53" spans="1:12" ht="11.25" customHeight="1">
      <c r="A53" s="52" t="s">
        <v>133</v>
      </c>
      <c r="B53" s="103"/>
      <c r="C53" s="10">
        <v>14</v>
      </c>
      <c r="D53" s="10"/>
      <c r="E53" s="10">
        <v>2390</v>
      </c>
      <c r="F53" s="151"/>
      <c r="G53" s="10">
        <v>11</v>
      </c>
      <c r="H53" s="10"/>
      <c r="I53" s="10">
        <v>2140</v>
      </c>
    </row>
    <row r="54" spans="1:12" ht="11.25" customHeight="1">
      <c r="A54" s="52" t="s">
        <v>140</v>
      </c>
      <c r="B54" s="103"/>
      <c r="C54" s="153">
        <v>11</v>
      </c>
      <c r="D54" s="10"/>
      <c r="E54" s="10">
        <v>1640</v>
      </c>
      <c r="F54" s="151"/>
      <c r="G54" s="152" t="s">
        <v>179</v>
      </c>
      <c r="H54" s="10"/>
      <c r="I54" s="10">
        <v>169</v>
      </c>
    </row>
    <row r="55" spans="1:12" ht="11.25" customHeight="1">
      <c r="A55" s="52" t="s">
        <v>134</v>
      </c>
      <c r="B55" s="103"/>
      <c r="C55" s="10">
        <v>1</v>
      </c>
      <c r="D55" s="10"/>
      <c r="E55" s="10">
        <v>550</v>
      </c>
      <c r="F55" s="151"/>
      <c r="G55" s="10">
        <v>1</v>
      </c>
      <c r="H55" s="10"/>
      <c r="I55" s="10">
        <v>844</v>
      </c>
    </row>
    <row r="56" spans="1:12" ht="11.25" customHeight="1">
      <c r="A56" s="52" t="s">
        <v>135</v>
      </c>
      <c r="B56" s="103"/>
      <c r="C56" s="10">
        <v>15</v>
      </c>
      <c r="D56" s="10"/>
      <c r="E56" s="10">
        <v>1320</v>
      </c>
      <c r="F56" s="151"/>
      <c r="G56" s="10">
        <v>9</v>
      </c>
      <c r="H56" s="10"/>
      <c r="I56" s="10">
        <v>3780</v>
      </c>
      <c r="K56" s="2"/>
    </row>
    <row r="57" spans="1:12" ht="11.25" customHeight="1">
      <c r="A57" s="52" t="s">
        <v>69</v>
      </c>
      <c r="B57" s="103"/>
      <c r="C57" s="152" t="s">
        <v>179</v>
      </c>
      <c r="D57" s="10"/>
      <c r="E57" s="149">
        <v>174</v>
      </c>
      <c r="F57" s="25"/>
      <c r="G57" s="153">
        <v>6</v>
      </c>
      <c r="H57" s="10"/>
      <c r="I57" s="149">
        <v>533</v>
      </c>
    </row>
    <row r="58" spans="1:12" ht="11.25" customHeight="1">
      <c r="A58" s="60" t="s">
        <v>6</v>
      </c>
      <c r="B58" s="103"/>
      <c r="C58" s="65">
        <v>67</v>
      </c>
      <c r="D58" s="65"/>
      <c r="E58" s="65">
        <v>15000</v>
      </c>
      <c r="F58" s="150"/>
      <c r="G58" s="65">
        <v>44</v>
      </c>
      <c r="H58" s="65"/>
      <c r="I58" s="65">
        <v>13900</v>
      </c>
    </row>
    <row r="59" spans="1:12" ht="11.25" customHeight="1">
      <c r="A59" s="52" t="s">
        <v>136</v>
      </c>
      <c r="B59" s="138"/>
      <c r="C59" s="156">
        <v>5440</v>
      </c>
      <c r="D59" s="171" t="s">
        <v>225</v>
      </c>
      <c r="E59" s="156">
        <v>537000</v>
      </c>
      <c r="F59" s="157"/>
      <c r="G59" s="156">
        <v>6390</v>
      </c>
      <c r="H59" s="70"/>
      <c r="I59" s="156">
        <v>633000</v>
      </c>
      <c r="L59" s="2"/>
    </row>
    <row r="60" spans="1:12" ht="11.85" customHeight="1">
      <c r="A60" s="270" t="s">
        <v>270</v>
      </c>
      <c r="B60" s="290"/>
      <c r="C60" s="290"/>
      <c r="D60" s="290"/>
      <c r="E60" s="290"/>
      <c r="F60" s="290"/>
      <c r="G60" s="290"/>
      <c r="H60" s="290"/>
      <c r="I60" s="290"/>
    </row>
    <row r="61" spans="1:12" ht="22.5" customHeight="1">
      <c r="A61" s="265" t="s">
        <v>281</v>
      </c>
      <c r="B61" s="265"/>
      <c r="C61" s="265"/>
      <c r="D61" s="265"/>
      <c r="E61" s="265"/>
      <c r="F61" s="265"/>
      <c r="G61" s="265"/>
      <c r="H61" s="265"/>
      <c r="I61" s="265"/>
    </row>
    <row r="62" spans="1:12" ht="22.5" customHeight="1">
      <c r="A62" s="265" t="s">
        <v>214</v>
      </c>
      <c r="B62" s="266"/>
      <c r="C62" s="266"/>
      <c r="D62" s="266"/>
      <c r="E62" s="266"/>
      <c r="F62" s="266"/>
      <c r="G62" s="266"/>
      <c r="H62" s="266"/>
      <c r="I62" s="266"/>
    </row>
    <row r="63" spans="1:12" ht="11.25" customHeight="1">
      <c r="A63" s="268" t="s">
        <v>184</v>
      </c>
      <c r="B63" s="269"/>
      <c r="C63" s="269"/>
      <c r="D63" s="269"/>
      <c r="E63" s="269"/>
      <c r="F63" s="269"/>
      <c r="G63" s="269"/>
      <c r="H63" s="269"/>
      <c r="I63" s="269"/>
    </row>
    <row r="64" spans="1:12" ht="11.25" customHeight="1">
      <c r="A64" s="268" t="s">
        <v>249</v>
      </c>
      <c r="B64" s="269"/>
      <c r="C64" s="269"/>
      <c r="D64" s="269"/>
      <c r="E64" s="269"/>
      <c r="F64" s="269"/>
      <c r="G64" s="269"/>
      <c r="H64" s="269"/>
      <c r="I64" s="269"/>
    </row>
    <row r="65" spans="1:9" ht="11.25" customHeight="1">
      <c r="A65" s="295"/>
      <c r="B65" s="269"/>
      <c r="C65" s="269"/>
      <c r="D65" s="269"/>
      <c r="E65" s="269"/>
      <c r="F65" s="269"/>
      <c r="G65" s="269"/>
      <c r="H65" s="269"/>
      <c r="I65" s="269"/>
    </row>
    <row r="66" spans="1:9" ht="11.25" customHeight="1">
      <c r="A66" s="295" t="s">
        <v>137</v>
      </c>
      <c r="B66" s="269"/>
      <c r="C66" s="269"/>
      <c r="D66" s="269"/>
      <c r="E66" s="269"/>
      <c r="F66" s="269"/>
      <c r="G66" s="269"/>
      <c r="H66" s="269"/>
      <c r="I66" s="269"/>
    </row>
  </sheetData>
  <mergeCells count="14">
    <mergeCell ref="A66:I66"/>
    <mergeCell ref="A60:I60"/>
    <mergeCell ref="A61:I61"/>
    <mergeCell ref="A62:I62"/>
    <mergeCell ref="A63:I63"/>
    <mergeCell ref="A64:I64"/>
    <mergeCell ref="A65:I65"/>
    <mergeCell ref="C6:E6"/>
    <mergeCell ref="G6:I6"/>
    <mergeCell ref="A1:I1"/>
    <mergeCell ref="A2:I2"/>
    <mergeCell ref="A3:I3"/>
    <mergeCell ref="A4:I4"/>
    <mergeCell ref="A5:I5"/>
  </mergeCells>
  <pageMargins left="0.5" right="0.5" top="0.5" bottom="0.75" header="0.5" footer="0.5"/>
  <pageSetup scale="83"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CDCC-F1A6-4924-8F2B-CBA51D1E1DC0}">
  <dimension ref="A1:I30"/>
  <sheetViews>
    <sheetView zoomScaleNormal="100" workbookViewId="0">
      <selection sqref="A1:I1"/>
    </sheetView>
  </sheetViews>
  <sheetFormatPr defaultColWidth="9.33203125" defaultRowHeight="11.25" customHeight="1"/>
  <cols>
    <col min="1" max="1" width="17.6640625" style="1" customWidth="1"/>
    <col min="2" max="2" width="1.6640625" style="1" customWidth="1"/>
    <col min="3" max="3" width="7.33203125" style="1" customWidth="1"/>
    <col min="4" max="4" width="1.6640625" style="1" customWidth="1"/>
    <col min="5" max="5" width="7.1640625" style="1" customWidth="1"/>
    <col min="6" max="6" width="1.6640625" style="1" customWidth="1"/>
    <col min="7" max="7" width="7.33203125" style="1" customWidth="1"/>
    <col min="8" max="8" width="1.6640625" style="1" customWidth="1"/>
    <col min="9" max="9" width="7.6640625" style="1" customWidth="1"/>
    <col min="10" max="16384" width="9.33203125" style="1"/>
  </cols>
  <sheetData>
    <row r="1" spans="1:9" ht="11.25" customHeight="1">
      <c r="A1" s="310" t="s">
        <v>138</v>
      </c>
      <c r="B1" s="310"/>
      <c r="C1" s="310"/>
      <c r="D1" s="310"/>
      <c r="E1" s="310"/>
      <c r="F1" s="310"/>
      <c r="G1" s="310"/>
      <c r="H1" s="310"/>
      <c r="I1" s="310"/>
    </row>
    <row r="2" spans="1:9" ht="11.25" customHeight="1">
      <c r="A2" s="310" t="s">
        <v>139</v>
      </c>
      <c r="B2" s="310"/>
      <c r="C2" s="310"/>
      <c r="D2" s="310"/>
      <c r="E2" s="310"/>
      <c r="F2" s="310"/>
      <c r="G2" s="310"/>
      <c r="H2" s="310"/>
      <c r="I2" s="310"/>
    </row>
    <row r="3" spans="1:9" ht="11.25" customHeight="1">
      <c r="A3" s="310" t="s">
        <v>223</v>
      </c>
      <c r="B3" s="310"/>
      <c r="C3" s="310"/>
      <c r="D3" s="310"/>
      <c r="E3" s="310"/>
      <c r="F3" s="310"/>
      <c r="G3" s="310"/>
      <c r="H3" s="310"/>
      <c r="I3" s="310"/>
    </row>
    <row r="4" spans="1:9" ht="11.25" customHeight="1">
      <c r="A4" s="296"/>
      <c r="B4" s="272"/>
      <c r="C4" s="272"/>
      <c r="D4" s="272"/>
      <c r="E4" s="272"/>
      <c r="F4" s="272"/>
      <c r="G4" s="272"/>
      <c r="H4" s="272"/>
      <c r="I4" s="272"/>
    </row>
    <row r="5" spans="1:9" ht="11.25" customHeight="1">
      <c r="A5" s="310" t="s">
        <v>29</v>
      </c>
      <c r="B5" s="310"/>
      <c r="C5" s="310"/>
      <c r="D5" s="310"/>
      <c r="E5" s="310"/>
      <c r="F5" s="310"/>
      <c r="G5" s="310"/>
      <c r="H5" s="310"/>
      <c r="I5" s="310"/>
    </row>
    <row r="6" spans="1:9" ht="11.25" customHeight="1">
      <c r="A6" s="297"/>
      <c r="B6" s="281"/>
      <c r="C6" s="281"/>
      <c r="D6" s="281"/>
      <c r="E6" s="281"/>
      <c r="F6" s="281"/>
      <c r="G6" s="281"/>
      <c r="H6" s="281"/>
      <c r="I6" s="281"/>
    </row>
    <row r="7" spans="1:9" ht="11.25" customHeight="1">
      <c r="A7" s="207"/>
      <c r="B7" s="208"/>
      <c r="C7" s="314" t="s">
        <v>241</v>
      </c>
      <c r="D7" s="283"/>
      <c r="E7" s="283"/>
      <c r="F7" s="208"/>
      <c r="G7" s="314" t="s">
        <v>276</v>
      </c>
      <c r="H7" s="283"/>
      <c r="I7" s="283"/>
    </row>
    <row r="8" spans="1:9" ht="11.25" customHeight="1">
      <c r="A8" s="209" t="s">
        <v>224</v>
      </c>
      <c r="B8" s="210"/>
      <c r="C8" s="211" t="s">
        <v>9</v>
      </c>
      <c r="D8" s="210"/>
      <c r="E8" s="211" t="s">
        <v>183</v>
      </c>
      <c r="F8" s="210"/>
      <c r="G8" s="211" t="s">
        <v>9</v>
      </c>
      <c r="H8" s="210"/>
      <c r="I8" s="211" t="s">
        <v>183</v>
      </c>
    </row>
    <row r="9" spans="1:9" ht="11.25" customHeight="1">
      <c r="A9" s="212" t="s">
        <v>129</v>
      </c>
      <c r="B9" s="213"/>
      <c r="C9" s="18">
        <v>1</v>
      </c>
      <c r="D9" s="214"/>
      <c r="E9" s="10">
        <v>897</v>
      </c>
      <c r="F9" s="261"/>
      <c r="G9" s="24" t="s">
        <v>179</v>
      </c>
      <c r="H9" s="214"/>
      <c r="I9" s="10">
        <v>1090</v>
      </c>
    </row>
    <row r="10" spans="1:9" ht="11.25" customHeight="1">
      <c r="A10" s="212" t="s">
        <v>119</v>
      </c>
      <c r="B10" s="213"/>
      <c r="C10" s="18">
        <v>1</v>
      </c>
      <c r="D10" s="214"/>
      <c r="E10" s="10">
        <v>576</v>
      </c>
      <c r="F10" s="213"/>
      <c r="G10" s="18">
        <v>2</v>
      </c>
      <c r="H10" s="214"/>
      <c r="I10" s="10">
        <v>1060</v>
      </c>
    </row>
    <row r="11" spans="1:9" ht="11.25" customHeight="1">
      <c r="A11" s="212" t="s">
        <v>133</v>
      </c>
      <c r="B11" s="213"/>
      <c r="C11" s="18">
        <v>5</v>
      </c>
      <c r="D11" s="214"/>
      <c r="E11" s="10">
        <v>4470</v>
      </c>
      <c r="F11" s="213"/>
      <c r="G11" s="18">
        <v>5</v>
      </c>
      <c r="H11" s="214"/>
      <c r="I11" s="10">
        <v>4930</v>
      </c>
    </row>
    <row r="12" spans="1:9" ht="11.25" customHeight="1">
      <c r="A12" s="212" t="s">
        <v>103</v>
      </c>
      <c r="B12" s="213"/>
      <c r="C12" s="10">
        <v>320</v>
      </c>
      <c r="D12" s="214"/>
      <c r="E12" s="10">
        <v>5020</v>
      </c>
      <c r="F12" s="261"/>
      <c r="G12" s="10">
        <v>272</v>
      </c>
      <c r="H12" s="214"/>
      <c r="I12" s="10">
        <v>4880</v>
      </c>
    </row>
    <row r="13" spans="1:9" ht="11.25" customHeight="1">
      <c r="A13" s="212" t="s">
        <v>140</v>
      </c>
      <c r="B13" s="213"/>
      <c r="C13" s="24" t="s">
        <v>179</v>
      </c>
      <c r="D13" s="215"/>
      <c r="E13" s="18">
        <v>122</v>
      </c>
      <c r="F13" s="261"/>
      <c r="G13" s="18">
        <v>1</v>
      </c>
      <c r="H13" s="215"/>
      <c r="I13" s="18">
        <v>678</v>
      </c>
    </row>
    <row r="14" spans="1:9" ht="11.25" customHeight="1">
      <c r="A14" s="212" t="s">
        <v>248</v>
      </c>
      <c r="B14" s="213"/>
      <c r="C14" s="24" t="s">
        <v>179</v>
      </c>
      <c r="D14" s="214"/>
      <c r="E14" s="10">
        <v>174</v>
      </c>
      <c r="F14" s="261"/>
      <c r="G14" s="24" t="s">
        <v>179</v>
      </c>
      <c r="H14" s="214"/>
      <c r="I14" s="10">
        <v>125</v>
      </c>
    </row>
    <row r="15" spans="1:9" ht="11.25" customHeight="1">
      <c r="A15" s="212" t="s">
        <v>120</v>
      </c>
      <c r="B15" s="213"/>
      <c r="C15" s="24" t="s">
        <v>179</v>
      </c>
      <c r="D15" s="214"/>
      <c r="E15" s="10">
        <v>321</v>
      </c>
      <c r="F15" s="261"/>
      <c r="G15" s="24" t="s">
        <v>179</v>
      </c>
      <c r="H15" s="214"/>
      <c r="I15" s="10">
        <v>535</v>
      </c>
    </row>
    <row r="16" spans="1:9" ht="11.25" customHeight="1">
      <c r="A16" s="212" t="s">
        <v>115</v>
      </c>
      <c r="B16" s="213"/>
      <c r="C16" s="24" t="s">
        <v>179</v>
      </c>
      <c r="D16" s="214"/>
      <c r="E16" s="10">
        <v>485</v>
      </c>
      <c r="F16" s="261"/>
      <c r="G16" s="26" t="s">
        <v>47</v>
      </c>
      <c r="H16" s="214"/>
      <c r="I16" s="26" t="s">
        <v>47</v>
      </c>
    </row>
    <row r="17" spans="1:9" ht="11.25" customHeight="1">
      <c r="A17" s="212" t="s">
        <v>116</v>
      </c>
      <c r="B17" s="213"/>
      <c r="C17" s="18">
        <v>4</v>
      </c>
      <c r="D17" s="214"/>
      <c r="E17" s="10">
        <v>4820</v>
      </c>
      <c r="F17" s="261"/>
      <c r="G17" s="18">
        <v>12</v>
      </c>
      <c r="H17" s="214"/>
      <c r="I17" s="18">
        <v>10200</v>
      </c>
    </row>
    <row r="18" spans="1:9" ht="11.25" customHeight="1">
      <c r="A18" s="212" t="s">
        <v>104</v>
      </c>
      <c r="B18" s="213"/>
      <c r="C18" s="18">
        <v>1</v>
      </c>
      <c r="D18" s="216"/>
      <c r="E18" s="18">
        <v>322</v>
      </c>
      <c r="F18" s="261"/>
      <c r="G18" s="18">
        <v>1</v>
      </c>
      <c r="H18" s="216"/>
      <c r="I18" s="18">
        <v>254</v>
      </c>
    </row>
    <row r="19" spans="1:9" ht="11.25" customHeight="1">
      <c r="A19" s="212" t="s">
        <v>122</v>
      </c>
      <c r="B19" s="213"/>
      <c r="C19" s="24" t="s">
        <v>179</v>
      </c>
      <c r="D19" s="217"/>
      <c r="E19" s="18">
        <v>67</v>
      </c>
      <c r="F19" s="261"/>
      <c r="G19" s="24" t="s">
        <v>179</v>
      </c>
      <c r="H19" s="217"/>
      <c r="I19" s="18">
        <v>11</v>
      </c>
    </row>
    <row r="20" spans="1:9" ht="11.25" customHeight="1">
      <c r="A20" s="212" t="s">
        <v>118</v>
      </c>
      <c r="B20" s="213"/>
      <c r="C20" s="218">
        <v>17</v>
      </c>
      <c r="D20" s="217"/>
      <c r="E20" s="18">
        <v>5730</v>
      </c>
      <c r="F20" s="261"/>
      <c r="G20" s="218">
        <v>14</v>
      </c>
      <c r="H20" s="217"/>
      <c r="I20" s="18">
        <v>5060</v>
      </c>
    </row>
    <row r="21" spans="1:9" ht="11.25" customHeight="1">
      <c r="A21" s="212" t="s">
        <v>296</v>
      </c>
      <c r="B21" s="213"/>
      <c r="C21" s="26" t="s">
        <v>47</v>
      </c>
      <c r="D21" s="217"/>
      <c r="E21" s="26" t="s">
        <v>47</v>
      </c>
      <c r="F21" s="261"/>
      <c r="G21" s="218">
        <v>28</v>
      </c>
      <c r="H21" s="217"/>
      <c r="I21" s="18">
        <v>3330</v>
      </c>
    </row>
    <row r="22" spans="1:9" ht="11.25" customHeight="1">
      <c r="A22" s="212" t="s">
        <v>69</v>
      </c>
      <c r="B22" s="213"/>
      <c r="C22" s="24" t="s">
        <v>179</v>
      </c>
      <c r="D22" s="25" t="s">
        <v>225</v>
      </c>
      <c r="E22" s="10">
        <v>232</v>
      </c>
      <c r="F22" s="219"/>
      <c r="G22" s="10">
        <v>1</v>
      </c>
      <c r="H22" s="216"/>
      <c r="I22" s="10">
        <v>379</v>
      </c>
    </row>
    <row r="23" spans="1:9" ht="11.25" customHeight="1">
      <c r="A23" s="220" t="s">
        <v>6</v>
      </c>
      <c r="B23" s="221"/>
      <c r="C23" s="222">
        <v>350</v>
      </c>
      <c r="D23" s="222"/>
      <c r="E23" s="222">
        <v>23200</v>
      </c>
      <c r="F23" s="223"/>
      <c r="G23" s="222">
        <v>338</v>
      </c>
      <c r="H23" s="222"/>
      <c r="I23" s="222">
        <v>32500</v>
      </c>
    </row>
    <row r="24" spans="1:9" ht="11.25" customHeight="1">
      <c r="A24" s="315" t="s">
        <v>86</v>
      </c>
      <c r="B24" s="276"/>
      <c r="C24" s="276"/>
      <c r="D24" s="276"/>
      <c r="E24" s="276"/>
      <c r="F24" s="276"/>
      <c r="G24" s="276"/>
      <c r="H24" s="276"/>
      <c r="I24" s="276"/>
    </row>
    <row r="25" spans="1:9" ht="22.5" customHeight="1">
      <c r="A25" s="316" t="s">
        <v>281</v>
      </c>
      <c r="B25" s="279"/>
      <c r="C25" s="279"/>
      <c r="D25" s="279"/>
      <c r="E25" s="279"/>
      <c r="F25" s="279"/>
      <c r="G25" s="279"/>
      <c r="H25" s="279"/>
      <c r="I25" s="279"/>
    </row>
    <row r="26" spans="1:9" ht="33.6" customHeight="1">
      <c r="A26" s="316" t="s">
        <v>215</v>
      </c>
      <c r="B26" s="279"/>
      <c r="C26" s="279"/>
      <c r="D26" s="279"/>
      <c r="E26" s="279"/>
      <c r="F26" s="279"/>
      <c r="G26" s="279"/>
      <c r="H26" s="279"/>
      <c r="I26" s="279"/>
    </row>
    <row r="27" spans="1:9" ht="11.25" customHeight="1">
      <c r="A27" s="317" t="s">
        <v>184</v>
      </c>
      <c r="B27" s="317"/>
      <c r="C27" s="317"/>
      <c r="D27" s="317"/>
      <c r="E27" s="317"/>
      <c r="F27" s="317"/>
      <c r="G27" s="317"/>
      <c r="H27" s="317"/>
      <c r="I27" s="317"/>
    </row>
    <row r="28" spans="1:9" ht="11.25" customHeight="1">
      <c r="A28" s="311" t="s">
        <v>249</v>
      </c>
      <c r="B28" s="269"/>
      <c r="C28" s="269"/>
      <c r="D28" s="269"/>
      <c r="E28" s="269"/>
      <c r="F28" s="269"/>
      <c r="G28" s="269"/>
      <c r="H28" s="269"/>
      <c r="I28" s="269"/>
    </row>
    <row r="29" spans="1:9" ht="11.25" customHeight="1">
      <c r="A29" s="312"/>
      <c r="B29" s="269"/>
      <c r="C29" s="269"/>
      <c r="D29" s="269"/>
      <c r="E29" s="269"/>
      <c r="F29" s="269"/>
      <c r="G29" s="269"/>
      <c r="H29" s="269"/>
      <c r="I29" s="269"/>
    </row>
    <row r="30" spans="1:9" ht="11.25" customHeight="1">
      <c r="A30" s="313" t="s">
        <v>137</v>
      </c>
      <c r="B30" s="313"/>
      <c r="C30" s="313"/>
      <c r="D30" s="313"/>
      <c r="E30" s="313"/>
      <c r="F30" s="313"/>
      <c r="G30" s="313"/>
      <c r="H30" s="313"/>
      <c r="I30" s="313"/>
    </row>
  </sheetData>
  <mergeCells count="15">
    <mergeCell ref="A28:I28"/>
    <mergeCell ref="A29:I29"/>
    <mergeCell ref="A30:I30"/>
    <mergeCell ref="C7:E7"/>
    <mergeCell ref="G7:I7"/>
    <mergeCell ref="A24:I24"/>
    <mergeCell ref="A25:I25"/>
    <mergeCell ref="A26:I26"/>
    <mergeCell ref="A27:I27"/>
    <mergeCell ref="A6:I6"/>
    <mergeCell ref="A1:I1"/>
    <mergeCell ref="A2:I2"/>
    <mergeCell ref="A3:I3"/>
    <mergeCell ref="A4:I4"/>
    <mergeCell ref="A5:I5"/>
  </mergeCells>
  <pageMargins left="0.5" right="0.5" top="0.5" bottom="0.75"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98D6-5FA9-4E57-9E14-A981D5D0E463}">
  <dimension ref="A1:L51"/>
  <sheetViews>
    <sheetView zoomScaleNormal="100" workbookViewId="0">
      <selection sqref="A1:I1"/>
    </sheetView>
  </sheetViews>
  <sheetFormatPr defaultColWidth="9.33203125" defaultRowHeight="11.25" customHeight="1"/>
  <cols>
    <col min="1" max="1" width="27.6640625" style="1" customWidth="1"/>
    <col min="2" max="2" width="1.6640625" style="1" customWidth="1"/>
    <col min="3" max="3" width="9.6640625" style="1" customWidth="1"/>
    <col min="4" max="4" width="1.6640625" style="1" customWidth="1"/>
    <col min="5" max="5" width="9.6640625" style="1" customWidth="1"/>
    <col min="6" max="6" width="1.6640625" style="1" customWidth="1"/>
    <col min="7" max="7" width="9.6640625" style="1" customWidth="1"/>
    <col min="8" max="8" width="1.6640625" style="1" customWidth="1"/>
    <col min="9" max="9" width="9.6640625" style="1" customWidth="1"/>
    <col min="10" max="16384" width="9.33203125" style="1"/>
  </cols>
  <sheetData>
    <row r="1" spans="1:10" ht="11.25" customHeight="1">
      <c r="A1" s="280" t="s">
        <v>257</v>
      </c>
      <c r="B1" s="280"/>
      <c r="C1" s="280"/>
      <c r="D1" s="280"/>
      <c r="E1" s="280"/>
      <c r="F1" s="280"/>
      <c r="G1" s="280"/>
      <c r="H1" s="280"/>
      <c r="I1" s="280"/>
    </row>
    <row r="2" spans="1:10" ht="11.25" customHeight="1">
      <c r="A2" s="280" t="s">
        <v>297</v>
      </c>
      <c r="B2" s="280"/>
      <c r="C2" s="280"/>
      <c r="D2" s="280"/>
      <c r="E2" s="280"/>
      <c r="F2" s="280"/>
      <c r="G2" s="280"/>
      <c r="H2" s="280"/>
      <c r="I2" s="280"/>
      <c r="J2" s="53"/>
    </row>
    <row r="3" spans="1:10" ht="11.25" customHeight="1">
      <c r="A3" s="271" t="s">
        <v>298</v>
      </c>
      <c r="B3" s="272"/>
      <c r="C3" s="272"/>
      <c r="D3" s="272"/>
      <c r="E3" s="272"/>
      <c r="F3" s="272"/>
      <c r="G3" s="272"/>
      <c r="H3" s="272"/>
      <c r="I3" s="272"/>
      <c r="J3" s="53"/>
    </row>
    <row r="4" spans="1:10" ht="11.25" customHeight="1">
      <c r="A4" s="271"/>
      <c r="B4" s="272"/>
      <c r="C4" s="272"/>
      <c r="D4" s="272"/>
      <c r="E4" s="272"/>
      <c r="F4" s="272"/>
      <c r="G4" s="272"/>
      <c r="H4" s="272"/>
      <c r="I4" s="272"/>
    </row>
    <row r="5" spans="1:10" ht="11.25" customHeight="1">
      <c r="A5" s="280" t="s">
        <v>387</v>
      </c>
      <c r="B5" s="280"/>
      <c r="C5" s="280"/>
      <c r="D5" s="280"/>
      <c r="E5" s="280"/>
      <c r="F5" s="280"/>
      <c r="G5" s="280"/>
      <c r="H5" s="280"/>
      <c r="I5" s="280"/>
    </row>
    <row r="6" spans="1:10" ht="11.25" customHeight="1">
      <c r="A6" s="273"/>
      <c r="B6" s="281"/>
      <c r="C6" s="281"/>
      <c r="D6" s="281"/>
      <c r="E6" s="281"/>
      <c r="F6" s="281"/>
      <c r="G6" s="281"/>
      <c r="H6" s="281"/>
      <c r="I6" s="281"/>
    </row>
    <row r="7" spans="1:10" ht="11.25" customHeight="1">
      <c r="A7" s="44"/>
      <c r="B7" s="45"/>
      <c r="C7" s="282" t="s">
        <v>241</v>
      </c>
      <c r="D7" s="283"/>
      <c r="E7" s="283"/>
      <c r="F7" s="45"/>
      <c r="G7" s="282" t="s">
        <v>276</v>
      </c>
      <c r="H7" s="283"/>
      <c r="I7" s="283"/>
    </row>
    <row r="8" spans="1:10" ht="11.25" customHeight="1">
      <c r="A8" s="260" t="s">
        <v>222</v>
      </c>
      <c r="B8" s="105"/>
      <c r="C8" s="260" t="s">
        <v>9</v>
      </c>
      <c r="D8" s="105"/>
      <c r="E8" s="260" t="s">
        <v>183</v>
      </c>
      <c r="F8" s="105"/>
      <c r="G8" s="260" t="s">
        <v>9</v>
      </c>
      <c r="H8" s="105"/>
      <c r="I8" s="260" t="s">
        <v>183</v>
      </c>
    </row>
    <row r="9" spans="1:10" ht="11.25" customHeight="1">
      <c r="A9" s="148" t="s">
        <v>113</v>
      </c>
      <c r="B9" s="104"/>
      <c r="C9" s="47"/>
      <c r="D9" s="200"/>
      <c r="E9" s="47"/>
      <c r="F9" s="200"/>
      <c r="G9" s="47"/>
      <c r="H9" s="200"/>
      <c r="I9" s="47"/>
    </row>
    <row r="10" spans="1:10" ht="11.25" customHeight="1">
      <c r="A10" s="189" t="s">
        <v>141</v>
      </c>
      <c r="B10" s="103"/>
      <c r="C10" s="121" t="s">
        <v>47</v>
      </c>
      <c r="D10" s="103"/>
      <c r="E10" s="121" t="s">
        <v>47</v>
      </c>
      <c r="F10" s="103"/>
      <c r="G10" s="106">
        <v>300</v>
      </c>
      <c r="H10" s="103"/>
      <c r="I10" s="106">
        <v>28</v>
      </c>
    </row>
    <row r="11" spans="1:10" ht="11.25" customHeight="1">
      <c r="A11" s="189" t="s">
        <v>282</v>
      </c>
      <c r="B11" s="103"/>
      <c r="C11" s="10" t="s">
        <v>388</v>
      </c>
      <c r="D11" s="103"/>
      <c r="E11" s="106">
        <v>3</v>
      </c>
      <c r="F11" s="103"/>
      <c r="G11" s="121" t="s">
        <v>47</v>
      </c>
      <c r="H11" s="103"/>
      <c r="I11" s="121" t="s">
        <v>47</v>
      </c>
    </row>
    <row r="12" spans="1:10" ht="11.25" customHeight="1">
      <c r="A12" s="189" t="s">
        <v>204</v>
      </c>
      <c r="B12" s="103"/>
      <c r="C12" s="121" t="s">
        <v>47</v>
      </c>
      <c r="D12" s="103"/>
      <c r="E12" s="121" t="s">
        <v>47</v>
      </c>
      <c r="F12" s="103"/>
      <c r="G12" s="123">
        <v>5810</v>
      </c>
      <c r="H12" s="103"/>
      <c r="I12" s="123">
        <v>1560</v>
      </c>
    </row>
    <row r="13" spans="1:10" ht="11.25" customHeight="1">
      <c r="A13" s="194" t="s">
        <v>6</v>
      </c>
      <c r="B13" s="103"/>
      <c r="C13" s="65">
        <v>2</v>
      </c>
      <c r="D13" s="136"/>
      <c r="E13" s="224">
        <v>3</v>
      </c>
      <c r="F13" s="136"/>
      <c r="G13" s="224">
        <v>6110</v>
      </c>
      <c r="H13" s="136"/>
      <c r="I13" s="224">
        <v>1590</v>
      </c>
    </row>
    <row r="14" spans="1:10" ht="11.25" customHeight="1">
      <c r="A14" s="50" t="s">
        <v>114</v>
      </c>
      <c r="B14" s="103"/>
      <c r="C14" s="10"/>
      <c r="D14" s="10"/>
      <c r="E14" s="10"/>
      <c r="F14" s="151"/>
      <c r="G14" s="10"/>
      <c r="H14" s="10"/>
      <c r="I14" s="10"/>
    </row>
    <row r="15" spans="1:10" ht="11.25" customHeight="1">
      <c r="A15" s="52" t="s">
        <v>390</v>
      </c>
      <c r="B15" s="103"/>
      <c r="C15" s="10">
        <v>8010</v>
      </c>
      <c r="D15" s="10"/>
      <c r="E15" s="10">
        <v>1510</v>
      </c>
      <c r="F15" s="25"/>
      <c r="G15" s="10">
        <v>20700</v>
      </c>
      <c r="H15" s="10"/>
      <c r="I15" s="10">
        <v>1920</v>
      </c>
    </row>
    <row r="16" spans="1:10" ht="11.25" customHeight="1">
      <c r="A16" s="52" t="s">
        <v>206</v>
      </c>
      <c r="B16" s="103"/>
      <c r="C16" s="10">
        <v>60</v>
      </c>
      <c r="D16" s="10"/>
      <c r="E16" s="10">
        <v>9</v>
      </c>
      <c r="F16" s="151"/>
      <c r="G16" s="10">
        <v>1000</v>
      </c>
      <c r="H16" s="10"/>
      <c r="I16" s="10">
        <v>22</v>
      </c>
    </row>
    <row r="17" spans="1:11" ht="11.25" customHeight="1">
      <c r="A17" s="52" t="s">
        <v>115</v>
      </c>
      <c r="B17" s="103"/>
      <c r="C17" s="10">
        <v>12900</v>
      </c>
      <c r="D17" s="10"/>
      <c r="E17" s="10">
        <v>1440</v>
      </c>
      <c r="F17" s="25"/>
      <c r="G17" s="10">
        <v>12800</v>
      </c>
      <c r="H17" s="10"/>
      <c r="I17" s="10">
        <v>1440</v>
      </c>
    </row>
    <row r="18" spans="1:11" ht="11.25" customHeight="1">
      <c r="A18" s="52" t="s">
        <v>116</v>
      </c>
      <c r="B18" s="103"/>
      <c r="C18" s="18">
        <v>856</v>
      </c>
      <c r="D18" s="10"/>
      <c r="E18" s="10">
        <v>319</v>
      </c>
      <c r="F18" s="25"/>
      <c r="G18" s="18">
        <v>76</v>
      </c>
      <c r="H18" s="10"/>
      <c r="I18" s="10">
        <v>72</v>
      </c>
    </row>
    <row r="19" spans="1:11" ht="11.25" customHeight="1">
      <c r="A19" s="52" t="s">
        <v>117</v>
      </c>
      <c r="B19" s="103"/>
      <c r="C19" s="18">
        <v>10200</v>
      </c>
      <c r="D19" s="10"/>
      <c r="E19" s="10">
        <v>5510</v>
      </c>
      <c r="F19" s="151"/>
      <c r="G19" s="18">
        <v>22300</v>
      </c>
      <c r="H19" s="10"/>
      <c r="I19" s="10">
        <v>5250</v>
      </c>
    </row>
    <row r="20" spans="1:11" ht="11.25" customHeight="1">
      <c r="A20" s="52" t="s">
        <v>118</v>
      </c>
      <c r="B20" s="103"/>
      <c r="C20" s="18">
        <v>412</v>
      </c>
      <c r="D20" s="10"/>
      <c r="E20" s="10">
        <v>168</v>
      </c>
      <c r="F20" s="25"/>
      <c r="G20" s="18">
        <v>894</v>
      </c>
      <c r="H20" s="10"/>
      <c r="I20" s="10">
        <v>159</v>
      </c>
    </row>
    <row r="21" spans="1:11" ht="11.25" customHeight="1">
      <c r="A21" s="52" t="s">
        <v>69</v>
      </c>
      <c r="B21" s="103"/>
      <c r="C21" s="18">
        <v>18</v>
      </c>
      <c r="D21" s="10"/>
      <c r="E21" s="149">
        <v>7</v>
      </c>
      <c r="F21" s="258"/>
      <c r="G21" s="18">
        <v>438</v>
      </c>
      <c r="H21" s="10"/>
      <c r="I21" s="149">
        <v>35</v>
      </c>
    </row>
    <row r="22" spans="1:11" ht="11.25" customHeight="1">
      <c r="A22" s="60" t="s">
        <v>6</v>
      </c>
      <c r="B22" s="103"/>
      <c r="C22" s="65">
        <v>32400</v>
      </c>
      <c r="D22" s="65"/>
      <c r="E22" s="65">
        <v>8950</v>
      </c>
      <c r="F22" s="150"/>
      <c r="G22" s="65">
        <v>58200</v>
      </c>
      <c r="H22" s="65"/>
      <c r="I22" s="65">
        <v>8910</v>
      </c>
      <c r="J22" s="2"/>
    </row>
    <row r="23" spans="1:11" ht="11.25" customHeight="1">
      <c r="A23" s="50" t="s">
        <v>234</v>
      </c>
      <c r="B23" s="103"/>
      <c r="C23" s="10"/>
      <c r="D23" s="10"/>
      <c r="E23" s="10"/>
      <c r="F23" s="151"/>
      <c r="G23" s="10"/>
      <c r="H23" s="10"/>
      <c r="I23" s="10"/>
    </row>
    <row r="24" spans="1:11" ht="11.25" customHeight="1">
      <c r="A24" s="52" t="s">
        <v>119</v>
      </c>
      <c r="B24" s="103"/>
      <c r="C24" s="10">
        <v>3</v>
      </c>
      <c r="D24" s="10"/>
      <c r="E24" s="10">
        <v>4</v>
      </c>
      <c r="F24" s="151"/>
      <c r="G24" s="10">
        <v>472</v>
      </c>
      <c r="H24" s="10"/>
      <c r="I24" s="10">
        <v>38</v>
      </c>
    </row>
    <row r="25" spans="1:11" ht="11.25" customHeight="1">
      <c r="A25" s="52" t="s">
        <v>208</v>
      </c>
      <c r="B25" s="103"/>
      <c r="C25" s="10">
        <v>760</v>
      </c>
      <c r="D25" s="10"/>
      <c r="E25" s="10">
        <v>77</v>
      </c>
      <c r="F25" s="151"/>
      <c r="G25" s="10">
        <v>32</v>
      </c>
      <c r="H25" s="10"/>
      <c r="I25" s="10">
        <v>43</v>
      </c>
    </row>
    <row r="26" spans="1:11" ht="11.25" customHeight="1">
      <c r="A26" s="52" t="s">
        <v>120</v>
      </c>
      <c r="B26" s="103"/>
      <c r="C26" s="10">
        <v>1360</v>
      </c>
      <c r="D26" s="10"/>
      <c r="E26" s="10">
        <v>414</v>
      </c>
      <c r="F26" s="25"/>
      <c r="G26" s="10">
        <v>2040</v>
      </c>
      <c r="H26" s="10"/>
      <c r="I26" s="10">
        <v>479</v>
      </c>
    </row>
    <row r="27" spans="1:11" ht="11.25" customHeight="1">
      <c r="A27" s="52" t="s">
        <v>121</v>
      </c>
      <c r="B27" s="103"/>
      <c r="C27" s="10">
        <v>2700</v>
      </c>
      <c r="D27" s="10"/>
      <c r="E27" s="10">
        <v>351</v>
      </c>
      <c r="F27" s="25"/>
      <c r="G27" s="10">
        <v>1330</v>
      </c>
      <c r="H27" s="10"/>
      <c r="I27" s="10">
        <v>265</v>
      </c>
    </row>
    <row r="28" spans="1:11" ht="11.25" customHeight="1">
      <c r="A28" s="52" t="s">
        <v>122</v>
      </c>
      <c r="B28" s="103"/>
      <c r="C28" s="10">
        <v>98</v>
      </c>
      <c r="D28" s="10"/>
      <c r="E28" s="10">
        <v>39</v>
      </c>
      <c r="F28" s="25"/>
      <c r="G28" s="10">
        <v>109</v>
      </c>
      <c r="H28" s="10"/>
      <c r="I28" s="10">
        <v>58</v>
      </c>
    </row>
    <row r="29" spans="1:11" ht="11.25" customHeight="1">
      <c r="A29" s="52" t="s">
        <v>123</v>
      </c>
      <c r="B29" s="103"/>
      <c r="C29" s="225" t="s">
        <v>47</v>
      </c>
      <c r="D29" s="23"/>
      <c r="E29" s="26" t="s">
        <v>47</v>
      </c>
      <c r="F29" s="151"/>
      <c r="G29" s="153">
        <v>1</v>
      </c>
      <c r="H29" s="23"/>
      <c r="I29" s="18">
        <v>3</v>
      </c>
    </row>
    <row r="30" spans="1:11" ht="11.25" customHeight="1">
      <c r="A30" s="52" t="s">
        <v>124</v>
      </c>
      <c r="B30" s="103"/>
      <c r="C30" s="10">
        <v>259</v>
      </c>
      <c r="D30" s="10"/>
      <c r="E30" s="10">
        <v>212</v>
      </c>
      <c r="F30" s="151"/>
      <c r="G30" s="153">
        <v>607</v>
      </c>
      <c r="H30" s="10"/>
      <c r="I30" s="10">
        <v>336</v>
      </c>
    </row>
    <row r="31" spans="1:11" ht="11.25" customHeight="1">
      <c r="A31" s="52" t="s">
        <v>69</v>
      </c>
      <c r="B31" s="103"/>
      <c r="C31" s="153">
        <v>277</v>
      </c>
      <c r="D31" s="10"/>
      <c r="E31" s="149">
        <v>112</v>
      </c>
      <c r="F31" s="258"/>
      <c r="G31" s="153">
        <v>657</v>
      </c>
      <c r="H31" s="10"/>
      <c r="I31" s="149">
        <v>125</v>
      </c>
      <c r="K31" s="2"/>
    </row>
    <row r="32" spans="1:11" ht="11.25" customHeight="1">
      <c r="A32" s="60" t="s">
        <v>6</v>
      </c>
      <c r="B32" s="103"/>
      <c r="C32" s="65">
        <v>5460</v>
      </c>
      <c r="D32" s="65"/>
      <c r="E32" s="65">
        <v>1210</v>
      </c>
      <c r="F32" s="150"/>
      <c r="G32" s="65">
        <v>5250</v>
      </c>
      <c r="H32" s="65"/>
      <c r="I32" s="65">
        <v>1350</v>
      </c>
    </row>
    <row r="33" spans="1:12" ht="11.25" customHeight="1">
      <c r="A33" s="50" t="s">
        <v>125</v>
      </c>
      <c r="B33" s="103"/>
      <c r="C33" s="10"/>
      <c r="D33" s="10"/>
      <c r="E33" s="10"/>
      <c r="F33" s="151"/>
      <c r="G33" s="10"/>
      <c r="H33" s="10"/>
      <c r="I33" s="10"/>
    </row>
    <row r="34" spans="1:12" ht="11.25" customHeight="1">
      <c r="A34" s="52" t="s">
        <v>126</v>
      </c>
      <c r="B34" s="103"/>
      <c r="C34" s="225" t="s">
        <v>47</v>
      </c>
      <c r="D34" s="23"/>
      <c r="E34" s="26" t="s">
        <v>47</v>
      </c>
      <c r="F34" s="151"/>
      <c r="G34" s="10">
        <v>162</v>
      </c>
      <c r="H34" s="23"/>
      <c r="I34" s="18">
        <v>11</v>
      </c>
    </row>
    <row r="35" spans="1:12" ht="11.25" customHeight="1">
      <c r="A35" s="52" t="s">
        <v>103</v>
      </c>
      <c r="B35" s="103"/>
      <c r="C35" s="10">
        <v>251</v>
      </c>
      <c r="D35" s="10"/>
      <c r="E35" s="10">
        <v>32</v>
      </c>
      <c r="F35" s="25"/>
      <c r="G35" s="10">
        <v>2470</v>
      </c>
      <c r="H35" s="10"/>
      <c r="I35" s="10">
        <v>207</v>
      </c>
    </row>
    <row r="36" spans="1:12" ht="11.25" customHeight="1">
      <c r="A36" s="52" t="s">
        <v>211</v>
      </c>
      <c r="B36" s="103"/>
      <c r="C36" s="10">
        <v>1</v>
      </c>
      <c r="D36" s="10"/>
      <c r="E36" s="10">
        <v>5</v>
      </c>
      <c r="F36" s="25"/>
      <c r="G36" s="225" t="s">
        <v>47</v>
      </c>
      <c r="H36" s="23"/>
      <c r="I36" s="26" t="s">
        <v>47</v>
      </c>
    </row>
    <row r="37" spans="1:12" ht="11.25" customHeight="1">
      <c r="A37" s="52" t="s">
        <v>104</v>
      </c>
      <c r="B37" s="103"/>
      <c r="C37" s="10">
        <v>708</v>
      </c>
      <c r="D37" s="10"/>
      <c r="E37" s="10">
        <v>60</v>
      </c>
      <c r="F37" s="25"/>
      <c r="G37" s="10">
        <v>1870</v>
      </c>
      <c r="H37" s="10"/>
      <c r="I37" s="10">
        <v>108</v>
      </c>
    </row>
    <row r="38" spans="1:12" ht="11.25" customHeight="1">
      <c r="A38" s="52" t="s">
        <v>69</v>
      </c>
      <c r="B38" s="103"/>
      <c r="C38" s="149">
        <v>519</v>
      </c>
      <c r="D38" s="10"/>
      <c r="E38" s="149">
        <v>42</v>
      </c>
      <c r="F38" s="258"/>
      <c r="G38" s="149">
        <v>558</v>
      </c>
      <c r="H38" s="10"/>
      <c r="I38" s="149">
        <v>45</v>
      </c>
    </row>
    <row r="39" spans="1:12" ht="11.25" customHeight="1">
      <c r="A39" s="60" t="s">
        <v>6</v>
      </c>
      <c r="B39" s="103"/>
      <c r="C39" s="65">
        <v>1480</v>
      </c>
      <c r="D39" s="65"/>
      <c r="E39" s="65">
        <v>139</v>
      </c>
      <c r="F39" s="150"/>
      <c r="G39" s="65">
        <v>5050</v>
      </c>
      <c r="H39" s="65"/>
      <c r="I39" s="65">
        <v>372</v>
      </c>
    </row>
    <row r="40" spans="1:12" ht="11.25" customHeight="1">
      <c r="A40" s="50" t="s">
        <v>284</v>
      </c>
      <c r="B40" s="103"/>
      <c r="C40" s="26" t="s">
        <v>47</v>
      </c>
      <c r="D40" s="10"/>
      <c r="E40" s="26" t="s">
        <v>47</v>
      </c>
      <c r="F40" s="258"/>
      <c r="G40" s="10">
        <v>1460</v>
      </c>
      <c r="H40" s="10"/>
      <c r="I40" s="10">
        <v>117</v>
      </c>
    </row>
    <row r="41" spans="1:12" ht="11.25" customHeight="1">
      <c r="A41" s="50" t="s">
        <v>131</v>
      </c>
      <c r="B41" s="103"/>
      <c r="C41" s="164"/>
      <c r="D41" s="165"/>
      <c r="E41" s="164"/>
      <c r="F41" s="226"/>
      <c r="G41" s="164"/>
      <c r="H41" s="165"/>
      <c r="I41" s="164"/>
    </row>
    <row r="42" spans="1:12" ht="11.25" customHeight="1">
      <c r="A42" s="184" t="s">
        <v>133</v>
      </c>
      <c r="B42" s="103"/>
      <c r="C42" s="26" t="s">
        <v>47</v>
      </c>
      <c r="D42" s="23"/>
      <c r="E42" s="26" t="s">
        <v>47</v>
      </c>
      <c r="F42" s="151"/>
      <c r="G42" s="10">
        <v>248</v>
      </c>
      <c r="H42" s="23"/>
      <c r="I42" s="18">
        <v>20</v>
      </c>
    </row>
    <row r="43" spans="1:12" ht="11.25" customHeight="1">
      <c r="A43" s="184" t="s">
        <v>283</v>
      </c>
      <c r="B43" s="103"/>
      <c r="C43" s="227" t="s">
        <v>47</v>
      </c>
      <c r="D43" s="228"/>
      <c r="E43" s="227" t="s">
        <v>47</v>
      </c>
      <c r="F43" s="229"/>
      <c r="G43" s="149">
        <v>51</v>
      </c>
      <c r="H43" s="228"/>
      <c r="I43" s="230">
        <v>4</v>
      </c>
    </row>
    <row r="44" spans="1:12" ht="11.25" customHeight="1">
      <c r="A44" s="126" t="s">
        <v>6</v>
      </c>
      <c r="B44" s="103"/>
      <c r="C44" s="41" t="s">
        <v>47</v>
      </c>
      <c r="D44" s="166"/>
      <c r="E44" s="41" t="s">
        <v>47</v>
      </c>
      <c r="F44" s="231"/>
      <c r="G44" s="263">
        <v>299</v>
      </c>
      <c r="H44" s="166"/>
      <c r="I44" s="167">
        <v>24</v>
      </c>
    </row>
    <row r="45" spans="1:12" ht="11.25" customHeight="1">
      <c r="A45" s="52" t="s">
        <v>136</v>
      </c>
      <c r="B45" s="138"/>
      <c r="C45" s="232">
        <v>39300</v>
      </c>
      <c r="D45" s="70"/>
      <c r="E45" s="232">
        <v>10300</v>
      </c>
      <c r="F45" s="157"/>
      <c r="G45" s="232">
        <v>76400</v>
      </c>
      <c r="H45" s="70"/>
      <c r="I45" s="232">
        <v>12400</v>
      </c>
      <c r="L45" s="2"/>
    </row>
    <row r="46" spans="1:12" ht="11.85" customHeight="1">
      <c r="A46" s="270" t="s">
        <v>86</v>
      </c>
      <c r="B46" s="290"/>
      <c r="C46" s="290"/>
      <c r="D46" s="290"/>
      <c r="E46" s="290"/>
      <c r="F46" s="290"/>
      <c r="G46" s="290"/>
      <c r="H46" s="290"/>
      <c r="I46" s="290"/>
    </row>
    <row r="47" spans="1:12" ht="22.5" customHeight="1">
      <c r="A47" s="265" t="s">
        <v>281</v>
      </c>
      <c r="B47" s="265"/>
      <c r="C47" s="265"/>
      <c r="D47" s="265"/>
      <c r="E47" s="265"/>
      <c r="F47" s="265"/>
      <c r="G47" s="265"/>
      <c r="H47" s="265"/>
      <c r="I47" s="265"/>
    </row>
    <row r="48" spans="1:12" ht="22.5" customHeight="1">
      <c r="A48" s="265" t="s">
        <v>214</v>
      </c>
      <c r="B48" s="266"/>
      <c r="C48" s="266"/>
      <c r="D48" s="266"/>
      <c r="E48" s="266"/>
      <c r="F48" s="266"/>
      <c r="G48" s="266"/>
      <c r="H48" s="266"/>
      <c r="I48" s="266"/>
    </row>
    <row r="49" spans="1:9" ht="11.25" customHeight="1">
      <c r="A49" s="268" t="s">
        <v>389</v>
      </c>
      <c r="B49" s="269"/>
      <c r="C49" s="269"/>
      <c r="D49" s="269"/>
      <c r="E49" s="269"/>
      <c r="F49" s="269"/>
      <c r="G49" s="269"/>
      <c r="H49" s="269"/>
      <c r="I49" s="269"/>
    </row>
    <row r="50" spans="1:9" ht="11.25" customHeight="1">
      <c r="A50" s="295"/>
      <c r="B50" s="269"/>
      <c r="C50" s="269"/>
      <c r="D50" s="269"/>
      <c r="E50" s="269"/>
      <c r="F50" s="269"/>
      <c r="G50" s="269"/>
      <c r="H50" s="269"/>
      <c r="I50" s="269"/>
    </row>
    <row r="51" spans="1:9" ht="11.25" customHeight="1">
      <c r="A51" s="295" t="s">
        <v>137</v>
      </c>
      <c r="B51" s="269"/>
      <c r="C51" s="269"/>
      <c r="D51" s="269"/>
      <c r="E51" s="269"/>
      <c r="F51" s="269"/>
      <c r="G51" s="269"/>
      <c r="H51" s="269"/>
      <c r="I51" s="269"/>
    </row>
  </sheetData>
  <mergeCells count="14">
    <mergeCell ref="A6:I6"/>
    <mergeCell ref="A1:I1"/>
    <mergeCell ref="A2:I2"/>
    <mergeCell ref="A3:I3"/>
    <mergeCell ref="A4:I4"/>
    <mergeCell ref="A5:I5"/>
    <mergeCell ref="A50:I50"/>
    <mergeCell ref="A51:I51"/>
    <mergeCell ref="C7:E7"/>
    <mergeCell ref="G7:I7"/>
    <mergeCell ref="A46:I46"/>
    <mergeCell ref="A47:I47"/>
    <mergeCell ref="A48:I48"/>
    <mergeCell ref="A49:I49"/>
  </mergeCells>
  <pageMargins left="0.5" right="0.5" top="0.5" bottom="0.75" header="0.5" footer="0.5"/>
  <pageSetup scale="83"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D30E-4FF4-4542-95A0-7E85D014B62F}">
  <dimension ref="A1:I27"/>
  <sheetViews>
    <sheetView zoomScaleNormal="100" workbookViewId="0">
      <selection sqref="A1:I1"/>
    </sheetView>
  </sheetViews>
  <sheetFormatPr defaultColWidth="9.33203125" defaultRowHeight="11.25" customHeight="1"/>
  <cols>
    <col min="1" max="1" width="17.6640625" style="1" customWidth="1"/>
    <col min="2" max="2" width="1.6640625" style="1" customWidth="1"/>
    <col min="3" max="3" width="7.33203125" style="1" customWidth="1"/>
    <col min="4" max="4" width="1.6640625" style="1" customWidth="1"/>
    <col min="5" max="5" width="7.1640625" style="1" customWidth="1"/>
    <col min="6" max="6" width="1.6640625" style="1" customWidth="1"/>
    <col min="7" max="7" width="7.33203125" style="1" customWidth="1"/>
    <col min="8" max="8" width="1.6640625" style="1" customWidth="1"/>
    <col min="9" max="9" width="7.6640625" style="1" customWidth="1"/>
    <col min="10" max="16384" width="9.33203125" style="1"/>
  </cols>
  <sheetData>
    <row r="1" spans="1:9" ht="11.25" customHeight="1">
      <c r="A1" s="310" t="s">
        <v>258</v>
      </c>
      <c r="B1" s="310"/>
      <c r="C1" s="310"/>
      <c r="D1" s="310"/>
      <c r="E1" s="310"/>
      <c r="F1" s="310"/>
      <c r="G1" s="310"/>
      <c r="H1" s="310"/>
      <c r="I1" s="310"/>
    </row>
    <row r="2" spans="1:9" ht="11.25" customHeight="1">
      <c r="A2" s="310" t="s">
        <v>259</v>
      </c>
      <c r="B2" s="310"/>
      <c r="C2" s="310"/>
      <c r="D2" s="310"/>
      <c r="E2" s="310"/>
      <c r="F2" s="310"/>
      <c r="G2" s="310"/>
      <c r="H2" s="310"/>
      <c r="I2" s="310"/>
    </row>
    <row r="3" spans="1:9" ht="11.25" customHeight="1">
      <c r="A3" s="310" t="s">
        <v>260</v>
      </c>
      <c r="B3" s="310"/>
      <c r="C3" s="310"/>
      <c r="D3" s="310"/>
      <c r="E3" s="310"/>
      <c r="F3" s="310"/>
      <c r="G3" s="310"/>
      <c r="H3" s="310"/>
      <c r="I3" s="310"/>
    </row>
    <row r="4" spans="1:9" ht="11.25" customHeight="1">
      <c r="A4" s="296"/>
      <c r="B4" s="272"/>
      <c r="C4" s="272"/>
      <c r="D4" s="272"/>
      <c r="E4" s="272"/>
      <c r="F4" s="272"/>
      <c r="G4" s="272"/>
      <c r="H4" s="272"/>
      <c r="I4" s="272"/>
    </row>
    <row r="5" spans="1:9" ht="11.25" customHeight="1">
      <c r="A5" s="310" t="s">
        <v>387</v>
      </c>
      <c r="B5" s="310"/>
      <c r="C5" s="310"/>
      <c r="D5" s="310"/>
      <c r="E5" s="310"/>
      <c r="F5" s="310"/>
      <c r="G5" s="310"/>
      <c r="H5" s="310"/>
      <c r="I5" s="310"/>
    </row>
    <row r="6" spans="1:9" ht="11.25" customHeight="1">
      <c r="A6" s="297"/>
      <c r="B6" s="281"/>
      <c r="C6" s="281"/>
      <c r="D6" s="281"/>
      <c r="E6" s="281"/>
      <c r="F6" s="281"/>
      <c r="G6" s="281"/>
      <c r="H6" s="281"/>
      <c r="I6" s="281"/>
    </row>
    <row r="7" spans="1:9" ht="11.25" customHeight="1">
      <c r="A7" s="207"/>
      <c r="B7" s="208"/>
      <c r="C7" s="314" t="s">
        <v>241</v>
      </c>
      <c r="D7" s="283"/>
      <c r="E7" s="283"/>
      <c r="F7" s="208"/>
      <c r="G7" s="314" t="s">
        <v>276</v>
      </c>
      <c r="H7" s="283"/>
      <c r="I7" s="283"/>
    </row>
    <row r="8" spans="1:9" ht="11.25" customHeight="1">
      <c r="A8" s="209" t="s">
        <v>224</v>
      </c>
      <c r="B8" s="210"/>
      <c r="C8" s="211" t="s">
        <v>9</v>
      </c>
      <c r="D8" s="210"/>
      <c r="E8" s="211" t="s">
        <v>183</v>
      </c>
      <c r="F8" s="210"/>
      <c r="G8" s="211" t="s">
        <v>9</v>
      </c>
      <c r="H8" s="210"/>
      <c r="I8" s="211" t="s">
        <v>183</v>
      </c>
    </row>
    <row r="9" spans="1:9" ht="11.25" customHeight="1">
      <c r="A9" s="212" t="s">
        <v>129</v>
      </c>
      <c r="B9" s="213"/>
      <c r="C9" s="10">
        <v>1</v>
      </c>
      <c r="D9" s="214"/>
      <c r="E9" s="10">
        <v>4</v>
      </c>
      <c r="F9" s="261"/>
      <c r="G9" s="10">
        <v>33</v>
      </c>
      <c r="H9" s="214"/>
      <c r="I9" s="10">
        <v>5</v>
      </c>
    </row>
    <row r="10" spans="1:9" ht="11.25" customHeight="1">
      <c r="A10" s="212" t="s">
        <v>133</v>
      </c>
      <c r="B10" s="213"/>
      <c r="C10" s="10">
        <v>234</v>
      </c>
      <c r="D10" s="214"/>
      <c r="E10" s="10">
        <v>12</v>
      </c>
      <c r="F10" s="213"/>
      <c r="G10" s="10">
        <v>543</v>
      </c>
      <c r="H10" s="214"/>
      <c r="I10" s="10">
        <v>33</v>
      </c>
    </row>
    <row r="11" spans="1:9" ht="11.25" customHeight="1">
      <c r="A11" s="212" t="s">
        <v>390</v>
      </c>
      <c r="B11" s="213"/>
      <c r="C11" s="10">
        <v>62700</v>
      </c>
      <c r="D11" s="214"/>
      <c r="E11" s="10">
        <v>6560</v>
      </c>
      <c r="F11" s="261"/>
      <c r="G11" s="10">
        <v>66100</v>
      </c>
      <c r="H11" s="214"/>
      <c r="I11" s="10">
        <v>8210</v>
      </c>
    </row>
    <row r="12" spans="1:9" ht="11.25" customHeight="1">
      <c r="A12" s="212" t="s">
        <v>261</v>
      </c>
      <c r="B12" s="213"/>
      <c r="C12" s="10">
        <v>1500</v>
      </c>
      <c r="D12" s="214"/>
      <c r="E12" s="10">
        <v>328</v>
      </c>
      <c r="F12" s="261"/>
      <c r="G12" s="10">
        <v>3370</v>
      </c>
      <c r="H12" s="214"/>
      <c r="I12" s="10">
        <v>756</v>
      </c>
    </row>
    <row r="13" spans="1:9" ht="11.25" customHeight="1">
      <c r="A13" s="212" t="s">
        <v>206</v>
      </c>
      <c r="B13" s="213"/>
      <c r="C13" s="10">
        <v>38</v>
      </c>
      <c r="D13" s="214"/>
      <c r="E13" s="10">
        <v>6</v>
      </c>
      <c r="F13" s="261"/>
      <c r="G13" s="10">
        <v>102</v>
      </c>
      <c r="H13" s="214"/>
      <c r="I13" s="10">
        <v>4</v>
      </c>
    </row>
    <row r="14" spans="1:9" ht="11.25" customHeight="1">
      <c r="A14" s="212" t="s">
        <v>115</v>
      </c>
      <c r="B14" s="213"/>
      <c r="C14" s="10">
        <v>3020</v>
      </c>
      <c r="D14" s="214"/>
      <c r="E14" s="10">
        <v>1270</v>
      </c>
      <c r="F14" s="261"/>
      <c r="G14" s="10">
        <v>3420</v>
      </c>
      <c r="H14" s="214"/>
      <c r="I14" s="10">
        <v>2010</v>
      </c>
    </row>
    <row r="15" spans="1:9" ht="11.25" customHeight="1">
      <c r="A15" s="50" t="s">
        <v>116</v>
      </c>
      <c r="B15" s="213"/>
      <c r="C15" s="10">
        <v>2</v>
      </c>
      <c r="D15" s="214"/>
      <c r="E15" s="10">
        <v>7</v>
      </c>
      <c r="F15" s="261"/>
      <c r="G15" s="10">
        <v>41</v>
      </c>
      <c r="H15" s="214"/>
      <c r="I15" s="10">
        <v>94</v>
      </c>
    </row>
    <row r="16" spans="1:9" ht="11.25" customHeight="1">
      <c r="A16" s="212" t="s">
        <v>104</v>
      </c>
      <c r="B16" s="213"/>
      <c r="C16" s="10">
        <v>303</v>
      </c>
      <c r="D16" s="216"/>
      <c r="E16" s="18">
        <v>16</v>
      </c>
      <c r="F16" s="261"/>
      <c r="G16" s="23" t="s">
        <v>47</v>
      </c>
      <c r="H16" s="216"/>
      <c r="I16" s="26" t="s">
        <v>47</v>
      </c>
    </row>
    <row r="17" spans="1:9" ht="11.25" customHeight="1">
      <c r="A17" s="212" t="s">
        <v>123</v>
      </c>
      <c r="B17" s="213"/>
      <c r="C17" s="10">
        <v>503</v>
      </c>
      <c r="D17" s="216"/>
      <c r="E17" s="18">
        <v>312</v>
      </c>
      <c r="F17" s="261"/>
      <c r="G17" s="10">
        <v>737</v>
      </c>
      <c r="H17" s="216"/>
      <c r="I17" s="18">
        <v>182</v>
      </c>
    </row>
    <row r="18" spans="1:9" ht="11.25" customHeight="1">
      <c r="A18" s="212" t="s">
        <v>262</v>
      </c>
      <c r="B18" s="213"/>
      <c r="C18" s="10">
        <v>746</v>
      </c>
      <c r="D18" s="216"/>
      <c r="E18" s="18">
        <v>366</v>
      </c>
      <c r="F18" s="261"/>
      <c r="G18" s="10">
        <v>175</v>
      </c>
      <c r="H18" s="216"/>
      <c r="I18" s="18">
        <v>432</v>
      </c>
    </row>
    <row r="19" spans="1:9" ht="11.25" customHeight="1">
      <c r="A19" s="212" t="s">
        <v>118</v>
      </c>
      <c r="B19" s="213"/>
      <c r="C19" s="10">
        <v>36</v>
      </c>
      <c r="D19" s="217"/>
      <c r="E19" s="18">
        <v>71</v>
      </c>
      <c r="F19" s="213"/>
      <c r="G19" s="10">
        <v>817</v>
      </c>
      <c r="H19" s="217"/>
      <c r="I19" s="18">
        <v>265</v>
      </c>
    </row>
    <row r="20" spans="1:9" ht="11.25" customHeight="1">
      <c r="A20" s="212" t="s">
        <v>69</v>
      </c>
      <c r="B20" s="213"/>
      <c r="C20" s="10">
        <v>222</v>
      </c>
      <c r="D20" s="216"/>
      <c r="E20" s="10">
        <v>182</v>
      </c>
      <c r="F20" s="219"/>
      <c r="G20" s="18">
        <v>608</v>
      </c>
      <c r="H20" s="216"/>
      <c r="I20" s="10">
        <v>266</v>
      </c>
    </row>
    <row r="21" spans="1:9" ht="11.25" customHeight="1">
      <c r="A21" s="220" t="s">
        <v>6</v>
      </c>
      <c r="B21" s="221"/>
      <c r="C21" s="222">
        <v>69300</v>
      </c>
      <c r="D21" s="222"/>
      <c r="E21" s="222">
        <v>9140</v>
      </c>
      <c r="F21" s="223"/>
      <c r="G21" s="222">
        <v>76000</v>
      </c>
      <c r="H21" s="222"/>
      <c r="I21" s="222">
        <v>12300</v>
      </c>
    </row>
    <row r="22" spans="1:9" ht="11.25" customHeight="1">
      <c r="A22" s="315" t="s">
        <v>86</v>
      </c>
      <c r="B22" s="276"/>
      <c r="C22" s="276"/>
      <c r="D22" s="276"/>
      <c r="E22" s="276"/>
      <c r="F22" s="276"/>
      <c r="G22" s="276"/>
      <c r="H22" s="276"/>
      <c r="I22" s="276"/>
    </row>
    <row r="23" spans="1:9" ht="22.5" customHeight="1">
      <c r="A23" s="316" t="s">
        <v>281</v>
      </c>
      <c r="B23" s="279"/>
      <c r="C23" s="279"/>
      <c r="D23" s="279"/>
      <c r="E23" s="279"/>
      <c r="F23" s="279"/>
      <c r="G23" s="279"/>
      <c r="H23" s="279"/>
      <c r="I23" s="279"/>
    </row>
    <row r="24" spans="1:9" ht="33.6" customHeight="1">
      <c r="A24" s="316" t="s">
        <v>215</v>
      </c>
      <c r="B24" s="279"/>
      <c r="C24" s="279"/>
      <c r="D24" s="279"/>
      <c r="E24" s="279"/>
      <c r="F24" s="279"/>
      <c r="G24" s="279"/>
      <c r="H24" s="279"/>
      <c r="I24" s="279"/>
    </row>
    <row r="25" spans="1:9" ht="11.25" customHeight="1">
      <c r="A25" s="311" t="s">
        <v>389</v>
      </c>
      <c r="B25" s="269"/>
      <c r="C25" s="269"/>
      <c r="D25" s="269"/>
      <c r="E25" s="269"/>
      <c r="F25" s="269"/>
      <c r="G25" s="269"/>
      <c r="H25" s="269"/>
      <c r="I25" s="269"/>
    </row>
    <row r="26" spans="1:9" ht="11.25" customHeight="1">
      <c r="A26" s="312"/>
      <c r="B26" s="269"/>
      <c r="C26" s="269"/>
      <c r="D26" s="269"/>
      <c r="E26" s="269"/>
      <c r="F26" s="269"/>
      <c r="G26" s="269"/>
      <c r="H26" s="269"/>
      <c r="I26" s="269"/>
    </row>
    <row r="27" spans="1:9" ht="11.25" customHeight="1">
      <c r="A27" s="313" t="s">
        <v>137</v>
      </c>
      <c r="B27" s="313"/>
      <c r="C27" s="313"/>
      <c r="D27" s="313"/>
      <c r="E27" s="313"/>
      <c r="F27" s="313"/>
      <c r="G27" s="313"/>
      <c r="H27" s="313"/>
      <c r="I27" s="313"/>
    </row>
  </sheetData>
  <mergeCells count="14">
    <mergeCell ref="A26:I26"/>
    <mergeCell ref="A27:I27"/>
    <mergeCell ref="C7:E7"/>
    <mergeCell ref="G7:I7"/>
    <mergeCell ref="A22:I22"/>
    <mergeCell ref="A23:I23"/>
    <mergeCell ref="A24:I24"/>
    <mergeCell ref="A25:I25"/>
    <mergeCell ref="A6:I6"/>
    <mergeCell ref="A1:I1"/>
    <mergeCell ref="A2:I2"/>
    <mergeCell ref="A3:I3"/>
    <mergeCell ref="A4:I4"/>
    <mergeCell ref="A5:I5"/>
  </mergeCells>
  <pageMargins left="0.5" right="0.5" top="0.5" bottom="0.75"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88F0E-D15B-46FF-A57F-5020E25B46E8}">
  <dimension ref="A1:N122"/>
  <sheetViews>
    <sheetView topLeftCell="A86" workbookViewId="0">
      <selection activeCell="W94" sqref="W94"/>
    </sheetView>
  </sheetViews>
  <sheetFormatPr defaultColWidth="8.83203125" defaultRowHeight="11.25"/>
  <cols>
    <col min="1" max="1" width="32.83203125" style="256" customWidth="1"/>
    <col min="2" max="2" width="2.1640625" style="248" customWidth="1"/>
    <col min="3" max="3" width="10.1640625" style="257" customWidth="1"/>
    <col min="4" max="4" width="2.1640625" style="248" customWidth="1"/>
    <col min="5" max="5" width="10.1640625" style="257" customWidth="1"/>
    <col min="6" max="6" width="2.1640625" style="248" customWidth="1"/>
    <col min="7" max="7" width="10.1640625" style="257" customWidth="1"/>
    <col min="8" max="8" width="3.5" style="248" customWidth="1"/>
    <col min="9" max="9" width="10.1640625" style="257" customWidth="1"/>
    <col min="10" max="10" width="3.5" style="248" customWidth="1"/>
    <col min="11" max="11" width="10.1640625" style="257" customWidth="1"/>
    <col min="12" max="12" width="2.1640625" style="248" customWidth="1"/>
    <col min="13" max="16384" width="8.83203125" style="242"/>
  </cols>
  <sheetData>
    <row r="1" spans="1:13" ht="11.25" customHeight="1">
      <c r="A1" s="320" t="s">
        <v>299</v>
      </c>
      <c r="B1" s="320"/>
      <c r="C1" s="320"/>
      <c r="D1" s="320"/>
      <c r="E1" s="320"/>
      <c r="F1" s="320"/>
      <c r="G1" s="320"/>
      <c r="H1" s="320"/>
      <c r="I1" s="320"/>
      <c r="J1" s="320"/>
      <c r="K1" s="320"/>
      <c r="L1" s="320"/>
      <c r="M1" s="241"/>
    </row>
    <row r="2" spans="1:13" ht="11.25" customHeight="1">
      <c r="A2" s="320" t="s">
        <v>300</v>
      </c>
      <c r="B2" s="320"/>
      <c r="C2" s="320"/>
      <c r="D2" s="320"/>
      <c r="E2" s="320"/>
      <c r="F2" s="320"/>
      <c r="G2" s="320"/>
      <c r="H2" s="320"/>
      <c r="I2" s="320"/>
      <c r="J2" s="320"/>
      <c r="K2" s="320"/>
      <c r="L2" s="320"/>
      <c r="M2" s="241"/>
    </row>
    <row r="3" spans="1:13" ht="11.25" customHeight="1">
      <c r="A3" s="321"/>
      <c r="B3" s="321"/>
      <c r="C3" s="321"/>
      <c r="D3" s="321"/>
      <c r="E3" s="321"/>
      <c r="F3" s="321"/>
      <c r="G3" s="321"/>
      <c r="H3" s="321"/>
      <c r="I3" s="321"/>
      <c r="J3" s="321"/>
      <c r="K3" s="321"/>
      <c r="L3" s="321"/>
      <c r="M3" s="241"/>
    </row>
    <row r="4" spans="1:13" ht="11.25" customHeight="1">
      <c r="A4" s="320" t="s">
        <v>88</v>
      </c>
      <c r="B4" s="320"/>
      <c r="C4" s="320"/>
      <c r="D4" s="320"/>
      <c r="E4" s="320"/>
      <c r="F4" s="320"/>
      <c r="G4" s="320"/>
      <c r="H4" s="320"/>
      <c r="I4" s="320"/>
      <c r="J4" s="320"/>
      <c r="K4" s="320"/>
      <c r="L4" s="320"/>
      <c r="M4" s="241"/>
    </row>
    <row r="5" spans="1:13" ht="11.25" customHeight="1">
      <c r="A5" s="322"/>
      <c r="B5" s="322"/>
      <c r="C5" s="322"/>
      <c r="D5" s="322"/>
      <c r="E5" s="322"/>
      <c r="F5" s="322"/>
      <c r="G5" s="322"/>
      <c r="H5" s="322"/>
      <c r="I5" s="322"/>
      <c r="J5" s="322"/>
      <c r="K5" s="322"/>
      <c r="L5" s="322"/>
      <c r="M5" s="241"/>
    </row>
    <row r="6" spans="1:13" ht="11.25" customHeight="1">
      <c r="A6" s="243" t="s">
        <v>301</v>
      </c>
      <c r="B6" s="244"/>
      <c r="C6" s="245">
        <v>2018</v>
      </c>
      <c r="D6" s="246"/>
      <c r="E6" s="245">
        <v>2019</v>
      </c>
      <c r="F6" s="246"/>
      <c r="G6" s="245">
        <v>2020</v>
      </c>
      <c r="H6" s="246"/>
      <c r="I6" s="245">
        <v>2021</v>
      </c>
      <c r="J6" s="246"/>
      <c r="K6" s="245">
        <v>2022</v>
      </c>
      <c r="L6" s="246"/>
      <c r="M6" s="241"/>
    </row>
    <row r="7" spans="1:13" ht="11.25" customHeight="1">
      <c r="A7" s="247" t="s">
        <v>302</v>
      </c>
      <c r="C7" s="249">
        <v>21</v>
      </c>
      <c r="D7" s="264"/>
      <c r="E7" s="249">
        <v>23</v>
      </c>
      <c r="F7" s="264"/>
      <c r="G7" s="249">
        <v>21</v>
      </c>
      <c r="H7" s="264"/>
      <c r="I7" s="249">
        <v>29</v>
      </c>
      <c r="J7" s="264"/>
      <c r="K7" s="249">
        <v>19</v>
      </c>
      <c r="L7" s="264"/>
      <c r="M7" s="241"/>
    </row>
    <row r="8" spans="1:13" ht="11.25" customHeight="1">
      <c r="A8" s="250" t="s">
        <v>303</v>
      </c>
      <c r="C8" s="249">
        <v>60</v>
      </c>
      <c r="D8" s="264"/>
      <c r="E8" s="249">
        <v>60</v>
      </c>
      <c r="F8" s="264"/>
      <c r="G8" s="249">
        <v>60</v>
      </c>
      <c r="H8" s="264"/>
      <c r="I8" s="249">
        <v>60</v>
      </c>
      <c r="J8" s="264"/>
      <c r="K8" s="249">
        <v>60</v>
      </c>
      <c r="L8" s="264"/>
      <c r="M8" s="241"/>
    </row>
    <row r="9" spans="1:13" ht="11.25" customHeight="1">
      <c r="A9" s="250" t="s">
        <v>304</v>
      </c>
      <c r="C9" s="249">
        <v>57</v>
      </c>
      <c r="D9" s="264"/>
      <c r="E9" s="249">
        <v>25</v>
      </c>
      <c r="F9" s="264"/>
      <c r="G9" s="249">
        <v>21</v>
      </c>
      <c r="H9" s="264" t="s">
        <v>305</v>
      </c>
      <c r="I9" s="249">
        <v>22</v>
      </c>
      <c r="J9" s="264" t="s">
        <v>305</v>
      </c>
      <c r="K9" s="249">
        <v>22</v>
      </c>
      <c r="L9" s="264" t="s">
        <v>305</v>
      </c>
      <c r="M9" s="241"/>
    </row>
    <row r="10" spans="1:13" ht="11.25" customHeight="1">
      <c r="A10" s="250" t="s">
        <v>306</v>
      </c>
      <c r="C10" s="249">
        <v>1600</v>
      </c>
      <c r="D10" s="264"/>
      <c r="E10" s="249">
        <v>3942</v>
      </c>
      <c r="F10" s="264"/>
      <c r="G10" s="249">
        <v>2435</v>
      </c>
      <c r="H10" s="264"/>
      <c r="I10" s="249">
        <v>3600</v>
      </c>
      <c r="J10" s="264" t="s">
        <v>305</v>
      </c>
      <c r="K10" s="249">
        <v>3900</v>
      </c>
      <c r="L10" s="264" t="s">
        <v>305</v>
      </c>
      <c r="M10" s="241"/>
    </row>
    <row r="11" spans="1:13" ht="11.25" customHeight="1">
      <c r="A11" s="250" t="s">
        <v>307</v>
      </c>
      <c r="C11" s="251">
        <v>3000</v>
      </c>
      <c r="D11" s="264"/>
      <c r="E11" s="251">
        <v>3000</v>
      </c>
      <c r="F11" s="264"/>
      <c r="G11" s="251">
        <v>3000</v>
      </c>
      <c r="H11" s="264"/>
      <c r="I11" s="251">
        <v>4000</v>
      </c>
      <c r="J11" s="264"/>
      <c r="K11" s="251">
        <v>5000</v>
      </c>
      <c r="L11" s="264"/>
      <c r="M11" s="241"/>
    </row>
    <row r="12" spans="1:13" ht="11.25" customHeight="1">
      <c r="A12" s="250" t="s">
        <v>308</v>
      </c>
      <c r="C12" s="251"/>
      <c r="D12" s="264"/>
      <c r="E12" s="251"/>
      <c r="F12" s="264"/>
      <c r="G12" s="251"/>
      <c r="H12" s="264"/>
      <c r="I12" s="251"/>
      <c r="J12" s="264"/>
      <c r="K12" s="251"/>
      <c r="L12" s="264"/>
      <c r="M12" s="241"/>
    </row>
    <row r="13" spans="1:13" ht="11.25" customHeight="1">
      <c r="A13" s="252" t="s">
        <v>310</v>
      </c>
      <c r="C13" s="249">
        <v>1126</v>
      </c>
      <c r="D13" s="264"/>
      <c r="E13" s="249">
        <v>1117</v>
      </c>
      <c r="F13" s="264"/>
      <c r="G13" s="249">
        <v>1093</v>
      </c>
      <c r="H13" s="264" t="s">
        <v>225</v>
      </c>
      <c r="I13" s="249">
        <v>933</v>
      </c>
      <c r="J13" s="264" t="s">
        <v>225</v>
      </c>
      <c r="K13" s="249">
        <v>1000</v>
      </c>
      <c r="L13" s="264" t="s">
        <v>305</v>
      </c>
      <c r="M13" s="241"/>
    </row>
    <row r="14" spans="1:13" ht="11.25" customHeight="1">
      <c r="A14" s="252" t="s">
        <v>309</v>
      </c>
      <c r="C14" s="251">
        <v>475</v>
      </c>
      <c r="D14" s="264"/>
      <c r="E14" s="251">
        <v>471</v>
      </c>
      <c r="F14" s="264"/>
      <c r="G14" s="251">
        <v>773</v>
      </c>
      <c r="H14" s="264" t="s">
        <v>225</v>
      </c>
      <c r="I14" s="251">
        <v>789</v>
      </c>
      <c r="J14" s="264" t="s">
        <v>225</v>
      </c>
      <c r="K14" s="251">
        <v>790</v>
      </c>
      <c r="L14" s="264" t="s">
        <v>305</v>
      </c>
      <c r="M14" s="241"/>
    </row>
    <row r="15" spans="1:13" ht="11.25" customHeight="1">
      <c r="A15" s="250" t="s">
        <v>311</v>
      </c>
      <c r="C15" s="249">
        <v>97</v>
      </c>
      <c r="D15" s="264" t="s">
        <v>225</v>
      </c>
      <c r="E15" s="249">
        <v>76</v>
      </c>
      <c r="F15" s="264" t="s">
        <v>225</v>
      </c>
      <c r="G15" s="249">
        <v>119</v>
      </c>
      <c r="H15" s="264" t="s">
        <v>225</v>
      </c>
      <c r="I15" s="249">
        <v>124</v>
      </c>
      <c r="J15" s="264" t="s">
        <v>225</v>
      </c>
      <c r="K15" s="249">
        <v>130</v>
      </c>
      <c r="L15" s="264" t="s">
        <v>305</v>
      </c>
      <c r="M15" s="241"/>
    </row>
    <row r="16" spans="1:13" ht="11.25" customHeight="1">
      <c r="A16" s="250" t="s">
        <v>312</v>
      </c>
      <c r="C16" s="249"/>
      <c r="D16" s="264"/>
      <c r="E16" s="249"/>
      <c r="F16" s="264"/>
      <c r="G16" s="249"/>
      <c r="H16" s="264"/>
      <c r="I16" s="249"/>
      <c r="J16" s="264"/>
      <c r="K16" s="249"/>
      <c r="L16" s="264"/>
      <c r="M16" s="241"/>
    </row>
    <row r="17" spans="1:13" ht="11.25" customHeight="1">
      <c r="A17" s="252" t="s">
        <v>313</v>
      </c>
      <c r="C17" s="249">
        <v>947</v>
      </c>
      <c r="D17" s="264"/>
      <c r="E17" s="249">
        <v>947</v>
      </c>
      <c r="F17" s="264"/>
      <c r="G17" s="249">
        <v>950</v>
      </c>
      <c r="H17" s="264"/>
      <c r="I17" s="249">
        <v>950</v>
      </c>
      <c r="J17" s="264"/>
      <c r="K17" s="249">
        <v>950</v>
      </c>
      <c r="L17" s="264"/>
      <c r="M17" s="241"/>
    </row>
    <row r="18" spans="1:13" ht="11.25" customHeight="1">
      <c r="A18" s="252" t="s">
        <v>4</v>
      </c>
      <c r="C18" s="249">
        <v>6660</v>
      </c>
      <c r="D18" s="264"/>
      <c r="E18" s="249">
        <v>7375</v>
      </c>
      <c r="F18" s="264"/>
      <c r="G18" s="249">
        <v>7197</v>
      </c>
      <c r="H18" s="264"/>
      <c r="I18" s="249">
        <v>7518</v>
      </c>
      <c r="J18" s="264" t="s">
        <v>225</v>
      </c>
      <c r="K18" s="249">
        <v>7500</v>
      </c>
      <c r="L18" s="264" t="s">
        <v>305</v>
      </c>
      <c r="M18" s="241"/>
    </row>
    <row r="19" spans="1:13" ht="11.25" customHeight="1">
      <c r="A19" s="250" t="s">
        <v>314</v>
      </c>
      <c r="C19" s="249">
        <v>1020</v>
      </c>
      <c r="D19" s="264"/>
      <c r="E19" s="249">
        <v>510</v>
      </c>
      <c r="F19" s="264"/>
      <c r="G19" s="249">
        <v>1</v>
      </c>
      <c r="H19" s="264"/>
      <c r="I19" s="249">
        <v>1</v>
      </c>
      <c r="J19" s="264"/>
      <c r="K19" s="249">
        <v>1</v>
      </c>
      <c r="L19" s="264"/>
      <c r="M19" s="241"/>
    </row>
    <row r="20" spans="1:13" ht="11.25" customHeight="1">
      <c r="A20" s="250" t="s">
        <v>315</v>
      </c>
      <c r="C20" s="249">
        <v>4864</v>
      </c>
      <c r="D20" s="264"/>
      <c r="E20" s="249">
        <v>4185</v>
      </c>
      <c r="F20" s="264"/>
      <c r="G20" s="249">
        <v>4046</v>
      </c>
      <c r="H20" s="264"/>
      <c r="I20" s="249">
        <v>4649</v>
      </c>
      <c r="J20" s="264"/>
      <c r="K20" s="249">
        <v>5000</v>
      </c>
      <c r="L20" s="264" t="s">
        <v>305</v>
      </c>
      <c r="M20" s="241"/>
    </row>
    <row r="21" spans="1:13" ht="11.25" customHeight="1">
      <c r="A21" s="250" t="s">
        <v>316</v>
      </c>
      <c r="C21" s="249"/>
      <c r="D21" s="264"/>
      <c r="E21" s="249"/>
      <c r="F21" s="264"/>
      <c r="G21" s="249"/>
      <c r="H21" s="264"/>
      <c r="I21" s="249"/>
      <c r="J21" s="264"/>
      <c r="K21" s="249"/>
      <c r="L21" s="264"/>
      <c r="M21" s="241"/>
    </row>
    <row r="22" spans="1:13" ht="11.25" customHeight="1">
      <c r="A22" s="252" t="s">
        <v>310</v>
      </c>
      <c r="C22" s="249">
        <v>584</v>
      </c>
      <c r="D22" s="264"/>
      <c r="E22" s="249">
        <v>465</v>
      </c>
      <c r="F22" s="264"/>
      <c r="G22" s="249">
        <v>339</v>
      </c>
      <c r="H22" s="264"/>
      <c r="I22" s="249">
        <v>448</v>
      </c>
      <c r="J22" s="264" t="s">
        <v>225</v>
      </c>
      <c r="K22" s="249">
        <v>584</v>
      </c>
      <c r="L22" s="264"/>
      <c r="M22" s="241"/>
    </row>
    <row r="23" spans="1:13" ht="11.25" customHeight="1">
      <c r="A23" s="252" t="s">
        <v>317</v>
      </c>
      <c r="C23" s="249">
        <v>792</v>
      </c>
      <c r="D23" s="264"/>
      <c r="E23" s="249">
        <v>825</v>
      </c>
      <c r="F23" s="264"/>
      <c r="G23" s="249">
        <v>836</v>
      </c>
      <c r="H23" s="264"/>
      <c r="I23" s="249">
        <v>1089</v>
      </c>
      <c r="J23" s="264" t="s">
        <v>225</v>
      </c>
      <c r="K23" s="249">
        <v>957</v>
      </c>
      <c r="L23" s="264"/>
      <c r="M23" s="241"/>
    </row>
    <row r="24" spans="1:13" ht="11.25" customHeight="1">
      <c r="A24" s="250" t="s">
        <v>318</v>
      </c>
      <c r="C24" s="249">
        <v>82550</v>
      </c>
      <c r="D24" s="264"/>
      <c r="E24" s="249">
        <v>85240</v>
      </c>
      <c r="F24" s="264"/>
      <c r="G24" s="249">
        <v>87650</v>
      </c>
      <c r="H24" s="264"/>
      <c r="I24" s="249">
        <v>87700</v>
      </c>
      <c r="J24" s="264" t="s">
        <v>305</v>
      </c>
      <c r="K24" s="249">
        <v>87700</v>
      </c>
      <c r="L24" s="264" t="s">
        <v>305</v>
      </c>
      <c r="M24" s="241"/>
    </row>
    <row r="25" spans="1:13" ht="11.25" customHeight="1">
      <c r="A25" s="250" t="s">
        <v>319</v>
      </c>
      <c r="C25" s="249">
        <v>109</v>
      </c>
      <c r="D25" s="264"/>
      <c r="E25" s="249">
        <v>78</v>
      </c>
      <c r="F25" s="264"/>
      <c r="G25" s="249">
        <v>64</v>
      </c>
      <c r="H25" s="264"/>
      <c r="I25" s="249">
        <v>1</v>
      </c>
      <c r="J25" s="264" t="s">
        <v>225</v>
      </c>
      <c r="K25" s="249">
        <v>1</v>
      </c>
      <c r="L25" s="264" t="s">
        <v>305</v>
      </c>
      <c r="M25" s="241"/>
    </row>
    <row r="26" spans="1:13" ht="11.25" customHeight="1">
      <c r="A26" s="250" t="s">
        <v>320</v>
      </c>
      <c r="C26" s="249">
        <v>23</v>
      </c>
      <c r="D26" s="264"/>
      <c r="E26" s="249">
        <v>20</v>
      </c>
      <c r="F26" s="264"/>
      <c r="G26" s="249">
        <v>23</v>
      </c>
      <c r="H26" s="264"/>
      <c r="I26" s="249">
        <v>15</v>
      </c>
      <c r="J26" s="264"/>
      <c r="K26" s="249">
        <v>15</v>
      </c>
      <c r="L26" s="264" t="s">
        <v>305</v>
      </c>
      <c r="M26" s="241"/>
    </row>
    <row r="27" spans="1:13" ht="11.25" customHeight="1">
      <c r="A27" s="250" t="s">
        <v>321</v>
      </c>
      <c r="C27" s="249"/>
      <c r="D27" s="264"/>
      <c r="E27" s="249"/>
      <c r="F27" s="264"/>
      <c r="G27" s="249"/>
      <c r="H27" s="264"/>
      <c r="I27" s="249"/>
      <c r="J27" s="264"/>
      <c r="K27" s="249"/>
      <c r="L27" s="264"/>
      <c r="M27" s="241"/>
    </row>
    <row r="28" spans="1:13" ht="11.25" customHeight="1">
      <c r="A28" s="252" t="s">
        <v>322</v>
      </c>
      <c r="C28" s="249">
        <v>559</v>
      </c>
      <c r="D28" s="264" t="s">
        <v>225</v>
      </c>
      <c r="E28" s="249">
        <v>514</v>
      </c>
      <c r="F28" s="264" t="s">
        <v>225</v>
      </c>
      <c r="G28" s="249">
        <v>470</v>
      </c>
      <c r="H28" s="264" t="s">
        <v>225</v>
      </c>
      <c r="I28" s="249">
        <v>583</v>
      </c>
      <c r="J28" s="264" t="s">
        <v>225</v>
      </c>
      <c r="K28" s="249">
        <v>580</v>
      </c>
      <c r="L28" s="264" t="s">
        <v>305</v>
      </c>
      <c r="M28" s="241"/>
    </row>
    <row r="29" spans="1:13" ht="11.25" customHeight="1">
      <c r="A29" s="252" t="s">
        <v>323</v>
      </c>
      <c r="C29" s="249">
        <v>743</v>
      </c>
      <c r="D29" s="264"/>
      <c r="E29" s="249">
        <v>740</v>
      </c>
      <c r="F29" s="264"/>
      <c r="G29" s="249">
        <v>683</v>
      </c>
      <c r="H29" s="264"/>
      <c r="I29" s="249">
        <v>715</v>
      </c>
      <c r="J29" s="264" t="s">
        <v>225</v>
      </c>
      <c r="K29" s="249">
        <v>720</v>
      </c>
      <c r="L29" s="264" t="s">
        <v>305</v>
      </c>
      <c r="M29" s="241"/>
    </row>
    <row r="30" spans="1:13" ht="11.25" customHeight="1">
      <c r="A30" s="252" t="s">
        <v>324</v>
      </c>
      <c r="C30" s="249">
        <v>16</v>
      </c>
      <c r="D30" s="264"/>
      <c r="E30" s="249">
        <v>17</v>
      </c>
      <c r="F30" s="264"/>
      <c r="G30" s="249">
        <v>11</v>
      </c>
      <c r="H30" s="264"/>
      <c r="I30" s="249">
        <v>20</v>
      </c>
      <c r="J30" s="264" t="s">
        <v>225</v>
      </c>
      <c r="K30" s="249">
        <v>20</v>
      </c>
      <c r="L30" s="264" t="s">
        <v>305</v>
      </c>
      <c r="M30" s="241"/>
    </row>
    <row r="31" spans="1:13" ht="11.25" customHeight="1">
      <c r="A31" s="250" t="s">
        <v>325</v>
      </c>
      <c r="C31" s="249">
        <v>540</v>
      </c>
      <c r="D31" s="264" t="s">
        <v>225</v>
      </c>
      <c r="E31" s="249">
        <v>600</v>
      </c>
      <c r="F31" s="264" t="s">
        <v>225</v>
      </c>
      <c r="G31" s="249">
        <v>740</v>
      </c>
      <c r="H31" s="264" t="s">
        <v>225</v>
      </c>
      <c r="I31" s="249">
        <v>840</v>
      </c>
      <c r="J31" s="264"/>
      <c r="K31" s="249">
        <v>770</v>
      </c>
      <c r="L31" s="264"/>
      <c r="M31" s="241"/>
    </row>
    <row r="32" spans="1:13" ht="11.25" customHeight="1">
      <c r="A32" s="250" t="s">
        <v>326</v>
      </c>
      <c r="C32" s="249">
        <v>46</v>
      </c>
      <c r="D32" s="264"/>
      <c r="E32" s="249">
        <v>13</v>
      </c>
      <c r="F32" s="264"/>
      <c r="G32" s="253" t="s">
        <v>47</v>
      </c>
      <c r="H32" s="264"/>
      <c r="I32" s="249">
        <v>14</v>
      </c>
      <c r="J32" s="264" t="s">
        <v>225</v>
      </c>
      <c r="K32" s="249">
        <v>14</v>
      </c>
      <c r="L32" s="264" t="s">
        <v>305</v>
      </c>
      <c r="M32" s="241"/>
    </row>
    <row r="33" spans="1:13" ht="11.25" customHeight="1">
      <c r="A33" s="250" t="s">
        <v>327</v>
      </c>
      <c r="C33" s="249">
        <v>106</v>
      </c>
      <c r="D33" s="264"/>
      <c r="E33" s="249">
        <v>106</v>
      </c>
      <c r="F33" s="264" t="s">
        <v>305</v>
      </c>
      <c r="G33" s="249">
        <v>100</v>
      </c>
      <c r="H33" s="264" t="s">
        <v>305</v>
      </c>
      <c r="I33" s="249">
        <v>100</v>
      </c>
      <c r="J33" s="264" t="s">
        <v>305</v>
      </c>
      <c r="K33" s="249">
        <v>100</v>
      </c>
      <c r="L33" s="264" t="s">
        <v>305</v>
      </c>
      <c r="M33" s="241"/>
    </row>
    <row r="34" spans="1:13" ht="11.25" customHeight="1">
      <c r="A34" s="250" t="s">
        <v>328</v>
      </c>
      <c r="C34" s="249"/>
      <c r="D34" s="264"/>
      <c r="E34" s="249"/>
      <c r="F34" s="264"/>
      <c r="G34" s="249"/>
      <c r="H34" s="264"/>
      <c r="I34" s="249"/>
      <c r="J34" s="264"/>
      <c r="K34" s="249"/>
      <c r="L34" s="264"/>
      <c r="M34" s="241"/>
    </row>
    <row r="35" spans="1:13" ht="11.25" customHeight="1">
      <c r="A35" s="252" t="s">
        <v>310</v>
      </c>
      <c r="C35" s="249">
        <v>100</v>
      </c>
      <c r="D35" s="264"/>
      <c r="E35" s="249">
        <v>100</v>
      </c>
      <c r="F35" s="264"/>
      <c r="G35" s="249">
        <v>100</v>
      </c>
      <c r="H35" s="264"/>
      <c r="I35" s="249">
        <v>100</v>
      </c>
      <c r="J35" s="264"/>
      <c r="K35" s="249">
        <v>100</v>
      </c>
      <c r="L35" s="264"/>
      <c r="M35" s="241"/>
    </row>
    <row r="36" spans="1:13" ht="11.25" customHeight="1">
      <c r="A36" s="252" t="s">
        <v>292</v>
      </c>
      <c r="C36" s="249">
        <v>600</v>
      </c>
      <c r="D36" s="264"/>
      <c r="E36" s="249">
        <v>600</v>
      </c>
      <c r="F36" s="264"/>
      <c r="G36" s="249">
        <v>600</v>
      </c>
      <c r="H36" s="264"/>
      <c r="I36" s="249">
        <v>600</v>
      </c>
      <c r="J36" s="264"/>
      <c r="K36" s="249">
        <v>600</v>
      </c>
      <c r="L36" s="264"/>
      <c r="M36" s="241"/>
    </row>
    <row r="37" spans="1:13" ht="11.25" customHeight="1">
      <c r="A37" s="250" t="s">
        <v>329</v>
      </c>
      <c r="C37" s="249">
        <v>41</v>
      </c>
      <c r="D37" s="264"/>
      <c r="E37" s="249">
        <v>42</v>
      </c>
      <c r="F37" s="264"/>
      <c r="G37" s="249">
        <v>36</v>
      </c>
      <c r="H37" s="264"/>
      <c r="I37" s="249">
        <v>33</v>
      </c>
      <c r="J37" s="264"/>
      <c r="K37" s="249">
        <v>39</v>
      </c>
      <c r="L37" s="264"/>
      <c r="M37" s="241"/>
    </row>
    <row r="38" spans="1:13" ht="11.25" customHeight="1">
      <c r="A38" s="250" t="s">
        <v>330</v>
      </c>
      <c r="C38" s="249"/>
      <c r="D38" s="264"/>
      <c r="E38" s="249"/>
      <c r="F38" s="264"/>
      <c r="G38" s="249"/>
      <c r="H38" s="264"/>
      <c r="I38" s="249"/>
      <c r="J38" s="264"/>
      <c r="K38" s="249"/>
      <c r="L38" s="264"/>
      <c r="M38" s="241"/>
    </row>
    <row r="39" spans="1:13" ht="11.25" customHeight="1">
      <c r="A39" s="252" t="s">
        <v>310</v>
      </c>
      <c r="C39" s="249">
        <v>3</v>
      </c>
      <c r="D39" s="264"/>
      <c r="E39" s="249">
        <v>3</v>
      </c>
      <c r="F39" s="264"/>
      <c r="G39" s="249">
        <v>3</v>
      </c>
      <c r="H39" s="264"/>
      <c r="I39" s="249">
        <v>3</v>
      </c>
      <c r="J39" s="264"/>
      <c r="K39" s="249">
        <v>3</v>
      </c>
      <c r="L39" s="264"/>
      <c r="M39" s="241"/>
    </row>
    <row r="40" spans="1:13" ht="11.25" customHeight="1">
      <c r="A40" s="252" t="s">
        <v>4</v>
      </c>
      <c r="C40" s="249">
        <v>10</v>
      </c>
      <c r="D40" s="264"/>
      <c r="E40" s="249">
        <v>10</v>
      </c>
      <c r="F40" s="264"/>
      <c r="G40" s="249">
        <v>10</v>
      </c>
      <c r="H40" s="264"/>
      <c r="I40" s="249">
        <v>10</v>
      </c>
      <c r="J40" s="264"/>
      <c r="K40" s="249">
        <v>10</v>
      </c>
      <c r="L40" s="264"/>
      <c r="M40" s="241"/>
    </row>
    <row r="41" spans="1:13" ht="11.25" customHeight="1">
      <c r="A41" s="250" t="s">
        <v>331</v>
      </c>
      <c r="C41" s="249">
        <v>10193</v>
      </c>
      <c r="D41" s="264"/>
      <c r="E41" s="249">
        <v>11022</v>
      </c>
      <c r="F41" s="264"/>
      <c r="G41" s="249">
        <v>9926</v>
      </c>
      <c r="H41" s="264"/>
      <c r="I41" s="249">
        <v>13257</v>
      </c>
      <c r="J41" s="264" t="s">
        <v>225</v>
      </c>
      <c r="K41" s="249">
        <v>13000</v>
      </c>
      <c r="L41" s="264" t="s">
        <v>305</v>
      </c>
      <c r="M41" s="241"/>
    </row>
    <row r="42" spans="1:13" ht="11.25" customHeight="1">
      <c r="A42" s="250" t="s">
        <v>332</v>
      </c>
      <c r="C42" s="249"/>
      <c r="D42" s="264"/>
      <c r="E42" s="249"/>
      <c r="F42" s="264"/>
      <c r="G42" s="249"/>
      <c r="H42" s="264"/>
      <c r="I42" s="249"/>
      <c r="J42" s="264"/>
      <c r="K42" s="249"/>
      <c r="L42" s="264"/>
      <c r="M42" s="241"/>
    </row>
    <row r="43" spans="1:13" ht="11.25" customHeight="1">
      <c r="A43" s="252" t="s">
        <v>310</v>
      </c>
      <c r="C43" s="249">
        <v>31</v>
      </c>
      <c r="D43" s="264"/>
      <c r="E43" s="249">
        <v>31</v>
      </c>
      <c r="F43" s="264"/>
      <c r="G43" s="249">
        <v>21</v>
      </c>
      <c r="H43" s="264"/>
      <c r="I43" s="249">
        <v>34</v>
      </c>
      <c r="J43" s="264" t="s">
        <v>225</v>
      </c>
      <c r="K43" s="249">
        <v>34</v>
      </c>
      <c r="L43" s="264" t="s">
        <v>305</v>
      </c>
      <c r="M43" s="241"/>
    </row>
    <row r="44" spans="1:13" ht="11.25" customHeight="1">
      <c r="A44" s="252" t="s">
        <v>334</v>
      </c>
      <c r="C44" s="249">
        <v>10700</v>
      </c>
      <c r="D44" s="264"/>
      <c r="E44" s="249">
        <v>10900</v>
      </c>
      <c r="F44" s="264"/>
      <c r="G44" s="249">
        <v>9800</v>
      </c>
      <c r="H44" s="264"/>
      <c r="I44" s="249">
        <v>10700</v>
      </c>
      <c r="J44" s="264" t="s">
        <v>225</v>
      </c>
      <c r="K44" s="249">
        <v>11000</v>
      </c>
      <c r="L44" s="264" t="s">
        <v>305</v>
      </c>
      <c r="M44" s="241"/>
    </row>
    <row r="45" spans="1:13" ht="11.25" customHeight="1">
      <c r="A45" s="252" t="s">
        <v>333</v>
      </c>
      <c r="C45" s="249">
        <v>58</v>
      </c>
      <c r="D45" s="264"/>
      <c r="E45" s="249">
        <v>54</v>
      </c>
      <c r="F45" s="264"/>
      <c r="G45" s="249">
        <v>52</v>
      </c>
      <c r="H45" s="264"/>
      <c r="I45" s="249">
        <v>58</v>
      </c>
      <c r="J45" s="264" t="s">
        <v>225</v>
      </c>
      <c r="K45" s="249">
        <v>58</v>
      </c>
      <c r="L45" s="264" t="s">
        <v>305</v>
      </c>
      <c r="M45" s="241"/>
    </row>
    <row r="46" spans="1:13" ht="11.25" customHeight="1">
      <c r="A46" s="250" t="s">
        <v>335</v>
      </c>
      <c r="C46" s="249">
        <v>80</v>
      </c>
      <c r="D46" s="264"/>
      <c r="E46" s="249">
        <v>140</v>
      </c>
      <c r="F46" s="264" t="s">
        <v>225</v>
      </c>
      <c r="G46" s="249">
        <v>46</v>
      </c>
      <c r="H46" s="264" t="s">
        <v>225</v>
      </c>
      <c r="I46" s="249">
        <v>74</v>
      </c>
      <c r="J46" s="264" t="s">
        <v>225</v>
      </c>
      <c r="K46" s="249">
        <v>74</v>
      </c>
      <c r="L46" s="264" t="s">
        <v>305</v>
      </c>
      <c r="M46" s="241"/>
    </row>
    <row r="47" spans="1:13" ht="11.25" customHeight="1">
      <c r="A47" s="250" t="s">
        <v>336</v>
      </c>
      <c r="C47" s="249">
        <v>1900</v>
      </c>
      <c r="D47" s="264"/>
      <c r="E47" s="249">
        <v>1900</v>
      </c>
      <c r="F47" s="264" t="s">
        <v>305</v>
      </c>
      <c r="G47" s="249">
        <v>1900</v>
      </c>
      <c r="H47" s="264" t="s">
        <v>305</v>
      </c>
      <c r="I47" s="249">
        <v>1900</v>
      </c>
      <c r="J47" s="264" t="s">
        <v>305</v>
      </c>
      <c r="K47" s="249">
        <v>1900</v>
      </c>
      <c r="L47" s="264" t="s">
        <v>305</v>
      </c>
      <c r="M47" s="241"/>
    </row>
    <row r="48" spans="1:13" ht="11.25" customHeight="1">
      <c r="A48" s="250" t="s">
        <v>337</v>
      </c>
      <c r="C48" s="249"/>
      <c r="D48" s="264"/>
      <c r="E48" s="249"/>
      <c r="F48" s="264"/>
      <c r="G48" s="249"/>
      <c r="H48" s="264"/>
      <c r="I48" s="249"/>
      <c r="J48" s="264"/>
      <c r="K48" s="249"/>
      <c r="L48" s="264"/>
      <c r="M48" s="241"/>
    </row>
    <row r="49" spans="1:13" ht="11.25" customHeight="1">
      <c r="A49" s="252" t="s">
        <v>322</v>
      </c>
      <c r="C49" s="249">
        <v>110</v>
      </c>
      <c r="D49" s="264"/>
      <c r="E49" s="249">
        <v>110</v>
      </c>
      <c r="F49" s="264" t="s">
        <v>305</v>
      </c>
      <c r="G49" s="249">
        <v>110</v>
      </c>
      <c r="H49" s="264" t="s">
        <v>305</v>
      </c>
      <c r="I49" s="249">
        <v>110</v>
      </c>
      <c r="J49" s="264" t="s">
        <v>305</v>
      </c>
      <c r="K49" s="249">
        <v>110</v>
      </c>
      <c r="L49" s="264" t="s">
        <v>305</v>
      </c>
      <c r="M49" s="241"/>
    </row>
    <row r="50" spans="1:13" ht="11.25" customHeight="1">
      <c r="A50" s="252" t="s">
        <v>338</v>
      </c>
      <c r="C50" s="249">
        <v>66</v>
      </c>
      <c r="D50" s="264"/>
      <c r="E50" s="249">
        <v>66</v>
      </c>
      <c r="F50" s="264"/>
      <c r="G50" s="249">
        <v>66</v>
      </c>
      <c r="H50" s="264"/>
      <c r="I50" s="249">
        <v>66</v>
      </c>
      <c r="J50" s="264"/>
      <c r="K50" s="249">
        <v>66</v>
      </c>
      <c r="L50" s="264"/>
      <c r="M50" s="241"/>
    </row>
    <row r="51" spans="1:13" ht="11.25" customHeight="1">
      <c r="A51" s="252" t="s">
        <v>292</v>
      </c>
      <c r="C51" s="249">
        <v>373</v>
      </c>
      <c r="D51" s="264"/>
      <c r="E51" s="249">
        <v>294</v>
      </c>
      <c r="F51" s="264"/>
      <c r="G51" s="249">
        <v>291</v>
      </c>
      <c r="H51" s="264"/>
      <c r="I51" s="249">
        <v>353</v>
      </c>
      <c r="J51" s="264" t="s">
        <v>225</v>
      </c>
      <c r="K51" s="249">
        <v>350</v>
      </c>
      <c r="L51" s="264" t="s">
        <v>305</v>
      </c>
      <c r="M51" s="241"/>
    </row>
    <row r="52" spans="1:13" ht="11.25" customHeight="1">
      <c r="A52" s="250" t="s">
        <v>339</v>
      </c>
      <c r="C52" s="249"/>
      <c r="D52" s="264"/>
      <c r="E52" s="249"/>
      <c r="F52" s="264"/>
      <c r="G52" s="249"/>
      <c r="H52" s="264"/>
      <c r="I52" s="249"/>
      <c r="J52" s="264"/>
      <c r="K52" s="249"/>
      <c r="L52" s="264"/>
      <c r="M52" s="241"/>
    </row>
    <row r="53" spans="1:13" ht="11.25" customHeight="1">
      <c r="A53" s="252" t="s">
        <v>324</v>
      </c>
      <c r="C53" s="249">
        <v>4500</v>
      </c>
      <c r="D53" s="264"/>
      <c r="E53" s="249">
        <v>4500</v>
      </c>
      <c r="F53" s="264"/>
      <c r="G53" s="249">
        <v>4500</v>
      </c>
      <c r="H53" s="264"/>
      <c r="I53" s="249">
        <v>4500</v>
      </c>
      <c r="J53" s="264"/>
      <c r="K53" s="249">
        <v>4500</v>
      </c>
      <c r="L53" s="264"/>
      <c r="M53" s="241"/>
    </row>
    <row r="54" spans="1:13" ht="11.25" customHeight="1">
      <c r="A54" s="252" t="s">
        <v>4</v>
      </c>
      <c r="C54" s="249">
        <v>3400</v>
      </c>
      <c r="D54" s="264"/>
      <c r="E54" s="249">
        <v>3400</v>
      </c>
      <c r="F54" s="264"/>
      <c r="G54" s="249">
        <v>3400</v>
      </c>
      <c r="H54" s="264"/>
      <c r="I54" s="249">
        <v>3400</v>
      </c>
      <c r="J54" s="264"/>
      <c r="K54" s="249">
        <v>3400</v>
      </c>
      <c r="L54" s="264"/>
      <c r="M54" s="241"/>
    </row>
    <row r="55" spans="1:13" ht="11.25" customHeight="1">
      <c r="A55" s="252" t="s">
        <v>292</v>
      </c>
      <c r="C55" s="249">
        <v>4000</v>
      </c>
      <c r="D55" s="264"/>
      <c r="E55" s="249">
        <v>4000</v>
      </c>
      <c r="F55" s="264"/>
      <c r="G55" s="249">
        <v>4000</v>
      </c>
      <c r="H55" s="264"/>
      <c r="I55" s="249">
        <v>4000</v>
      </c>
      <c r="J55" s="264"/>
      <c r="K55" s="249">
        <v>4000</v>
      </c>
      <c r="L55" s="264"/>
      <c r="M55" s="241"/>
    </row>
    <row r="56" spans="1:13" ht="11.25" customHeight="1">
      <c r="A56" s="250" t="s">
        <v>340</v>
      </c>
      <c r="C56" s="249"/>
      <c r="D56" s="264"/>
      <c r="E56" s="249"/>
      <c r="F56" s="264"/>
      <c r="G56" s="249"/>
      <c r="H56" s="264"/>
      <c r="I56" s="249"/>
      <c r="J56" s="264"/>
      <c r="K56" s="249"/>
      <c r="L56" s="264"/>
      <c r="M56" s="241"/>
    </row>
    <row r="57" spans="1:13" ht="11.25" customHeight="1">
      <c r="A57" s="252" t="s">
        <v>341</v>
      </c>
      <c r="C57" s="249">
        <v>2600</v>
      </c>
      <c r="D57" s="264"/>
      <c r="E57" s="249">
        <v>3500</v>
      </c>
      <c r="F57" s="264"/>
      <c r="G57" s="249">
        <v>3500</v>
      </c>
      <c r="H57" s="264"/>
      <c r="I57" s="249">
        <v>3500</v>
      </c>
      <c r="J57" s="264"/>
      <c r="K57" s="249">
        <v>3500</v>
      </c>
      <c r="L57" s="264"/>
      <c r="M57" s="241"/>
    </row>
    <row r="58" spans="1:13" ht="11.25" customHeight="1">
      <c r="A58" s="252" t="s">
        <v>292</v>
      </c>
      <c r="C58" s="249">
        <v>35</v>
      </c>
      <c r="D58" s="264"/>
      <c r="E58" s="249">
        <v>35</v>
      </c>
      <c r="F58" s="264"/>
      <c r="G58" s="249">
        <v>35</v>
      </c>
      <c r="H58" s="264"/>
      <c r="I58" s="249">
        <v>35</v>
      </c>
      <c r="J58" s="264"/>
      <c r="K58" s="249">
        <v>35</v>
      </c>
      <c r="L58" s="264"/>
      <c r="M58" s="241"/>
    </row>
    <row r="59" spans="1:13" ht="11.25" customHeight="1">
      <c r="A59" s="250" t="s">
        <v>342</v>
      </c>
      <c r="C59" s="249">
        <v>409</v>
      </c>
      <c r="D59" s="264"/>
      <c r="E59" s="249">
        <v>417</v>
      </c>
      <c r="F59" s="264"/>
      <c r="G59" s="249">
        <v>417</v>
      </c>
      <c r="H59" s="264"/>
      <c r="I59" s="249">
        <v>517</v>
      </c>
      <c r="J59" s="264" t="s">
        <v>225</v>
      </c>
      <c r="K59" s="249">
        <v>520</v>
      </c>
      <c r="L59" s="264" t="s">
        <v>305</v>
      </c>
      <c r="M59" s="241"/>
    </row>
    <row r="60" spans="1:13" ht="11.25" customHeight="1">
      <c r="A60" s="250" t="s">
        <v>391</v>
      </c>
      <c r="C60" s="249">
        <v>14000</v>
      </c>
      <c r="D60" s="264"/>
      <c r="E60" s="249">
        <v>14000</v>
      </c>
      <c r="F60" s="264"/>
      <c r="G60" s="249">
        <v>13000</v>
      </c>
      <c r="H60" s="264"/>
      <c r="I60" s="249">
        <v>13000</v>
      </c>
      <c r="J60" s="264"/>
      <c r="K60" s="249">
        <v>14000</v>
      </c>
      <c r="L60" s="264"/>
      <c r="M60" s="241"/>
    </row>
    <row r="61" spans="1:13" ht="11.25" customHeight="1">
      <c r="A61" s="250" t="s">
        <v>343</v>
      </c>
      <c r="C61" s="249">
        <v>22</v>
      </c>
      <c r="D61" s="264"/>
      <c r="E61" s="249">
        <v>25</v>
      </c>
      <c r="F61" s="264"/>
      <c r="G61" s="249">
        <v>29</v>
      </c>
      <c r="H61" s="264"/>
      <c r="I61" s="249">
        <v>31</v>
      </c>
      <c r="J61" s="264"/>
      <c r="K61" s="249">
        <v>31</v>
      </c>
      <c r="L61" s="264" t="s">
        <v>305</v>
      </c>
      <c r="M61" s="241"/>
    </row>
    <row r="62" spans="1:13" ht="11.25" customHeight="1">
      <c r="A62" s="250" t="s">
        <v>344</v>
      </c>
      <c r="C62" s="249">
        <v>2524</v>
      </c>
      <c r="D62" s="264"/>
      <c r="E62" s="249">
        <v>2273</v>
      </c>
      <c r="F62" s="264"/>
      <c r="G62" s="249">
        <v>1924</v>
      </c>
      <c r="H62" s="264"/>
      <c r="I62" s="249">
        <v>2045</v>
      </c>
      <c r="J62" s="264" t="s">
        <v>225</v>
      </c>
      <c r="K62" s="249">
        <v>2014</v>
      </c>
      <c r="L62" s="264"/>
      <c r="M62" s="241"/>
    </row>
    <row r="63" spans="1:13" ht="11.25" customHeight="1">
      <c r="A63" s="250" t="s">
        <v>345</v>
      </c>
      <c r="C63" s="249">
        <v>136</v>
      </c>
      <c r="D63" s="264"/>
      <c r="E63" s="249">
        <v>249</v>
      </c>
      <c r="F63" s="264"/>
      <c r="G63" s="249">
        <v>212</v>
      </c>
      <c r="H63" s="264" t="s">
        <v>225</v>
      </c>
      <c r="I63" s="249">
        <v>69</v>
      </c>
      <c r="J63" s="264" t="s">
        <v>225</v>
      </c>
      <c r="K63" s="249">
        <v>70</v>
      </c>
      <c r="L63" s="264" t="s">
        <v>305</v>
      </c>
      <c r="M63" s="241"/>
    </row>
    <row r="64" spans="1:13" ht="11.25" customHeight="1">
      <c r="A64" s="250" t="s">
        <v>346</v>
      </c>
      <c r="C64" s="249">
        <v>25</v>
      </c>
      <c r="D64" s="264"/>
      <c r="E64" s="249">
        <v>22</v>
      </c>
      <c r="F64" s="264"/>
      <c r="G64" s="249">
        <v>22</v>
      </c>
      <c r="H64" s="264"/>
      <c r="I64" s="249">
        <v>23</v>
      </c>
      <c r="J64" s="264" t="s">
        <v>225</v>
      </c>
      <c r="K64" s="249">
        <v>23</v>
      </c>
      <c r="L64" s="264"/>
      <c r="M64" s="241"/>
    </row>
    <row r="65" spans="1:13" ht="11.25" customHeight="1">
      <c r="A65" s="250" t="s">
        <v>347</v>
      </c>
      <c r="C65" s="249"/>
      <c r="D65" s="264"/>
      <c r="E65" s="249"/>
      <c r="F65" s="264"/>
      <c r="G65" s="249"/>
      <c r="H65" s="264"/>
      <c r="I65" s="249"/>
      <c r="J65" s="264"/>
      <c r="K65" s="249"/>
      <c r="L65" s="264"/>
      <c r="M65" s="241"/>
    </row>
    <row r="66" spans="1:13" ht="11.25" customHeight="1">
      <c r="A66" s="252" t="s">
        <v>348</v>
      </c>
      <c r="C66" s="249">
        <v>1500</v>
      </c>
      <c r="D66" s="264"/>
      <c r="E66" s="249">
        <v>810</v>
      </c>
      <c r="F66" s="264"/>
      <c r="G66" s="249">
        <v>870</v>
      </c>
      <c r="H66" s="264"/>
      <c r="I66" s="249">
        <v>1000</v>
      </c>
      <c r="J66" s="264"/>
      <c r="K66" s="249">
        <v>1000</v>
      </c>
      <c r="L66" s="264" t="s">
        <v>305</v>
      </c>
      <c r="M66" s="241"/>
    </row>
    <row r="67" spans="1:13" ht="11.25" customHeight="1">
      <c r="A67" s="252" t="s">
        <v>4</v>
      </c>
      <c r="C67" s="249">
        <v>230</v>
      </c>
      <c r="D67" s="264"/>
      <c r="E67" s="249">
        <v>210</v>
      </c>
      <c r="F67" s="264"/>
      <c r="G67" s="249">
        <v>270</v>
      </c>
      <c r="H67" s="264"/>
      <c r="I67" s="249">
        <v>82</v>
      </c>
      <c r="J67" s="264"/>
      <c r="K67" s="249">
        <v>200</v>
      </c>
      <c r="L67" s="264" t="s">
        <v>305</v>
      </c>
      <c r="M67" s="241"/>
    </row>
    <row r="68" spans="1:13" ht="11.25" customHeight="1">
      <c r="A68" s="250" t="s">
        <v>349</v>
      </c>
      <c r="C68" s="249">
        <v>44</v>
      </c>
      <c r="D68" s="264"/>
      <c r="E68" s="249">
        <v>38</v>
      </c>
      <c r="F68" s="264"/>
      <c r="G68" s="249">
        <v>23</v>
      </c>
      <c r="H68" s="264"/>
      <c r="I68" s="249">
        <v>52</v>
      </c>
      <c r="J68" s="264"/>
      <c r="K68" s="249">
        <v>62</v>
      </c>
      <c r="L68" s="264"/>
      <c r="M68" s="241"/>
    </row>
    <row r="69" spans="1:13" ht="11.25" customHeight="1">
      <c r="A69" s="250" t="s">
        <v>350</v>
      </c>
      <c r="C69" s="249">
        <v>696</v>
      </c>
      <c r="D69" s="264"/>
      <c r="E69" s="249">
        <v>805</v>
      </c>
      <c r="F69" s="264"/>
      <c r="G69" s="249">
        <v>570</v>
      </c>
      <c r="H69" s="264"/>
      <c r="I69" s="249">
        <v>726</v>
      </c>
      <c r="J69" s="264" t="s">
        <v>225</v>
      </c>
      <c r="K69" s="249">
        <v>911</v>
      </c>
      <c r="L69" s="264"/>
      <c r="M69" s="241"/>
    </row>
    <row r="70" spans="1:13" ht="11.25" customHeight="1">
      <c r="A70" s="250" t="s">
        <v>351</v>
      </c>
      <c r="C70" s="249">
        <v>332</v>
      </c>
      <c r="D70" s="264"/>
      <c r="E70" s="249">
        <v>709</v>
      </c>
      <c r="F70" s="264"/>
      <c r="G70" s="249">
        <v>671</v>
      </c>
      <c r="H70" s="264"/>
      <c r="I70" s="249">
        <v>930</v>
      </c>
      <c r="J70" s="264" t="s">
        <v>225</v>
      </c>
      <c r="K70" s="249">
        <v>990</v>
      </c>
      <c r="L70" s="264" t="s">
        <v>305</v>
      </c>
      <c r="M70" s="241"/>
    </row>
    <row r="71" spans="1:13" ht="11.25" customHeight="1">
      <c r="A71" s="250" t="s">
        <v>392</v>
      </c>
      <c r="C71" s="249">
        <v>58</v>
      </c>
      <c r="D71" s="264"/>
      <c r="E71" s="249">
        <v>58</v>
      </c>
      <c r="F71" s="264"/>
      <c r="G71" s="249">
        <v>68</v>
      </c>
      <c r="H71" s="264"/>
      <c r="I71" s="249">
        <v>66</v>
      </c>
      <c r="J71" s="264"/>
      <c r="K71" s="249">
        <v>60</v>
      </c>
      <c r="L71" s="264"/>
      <c r="M71" s="241"/>
    </row>
    <row r="72" spans="1:13" ht="11.25" customHeight="1">
      <c r="A72" s="250" t="s">
        <v>352</v>
      </c>
      <c r="C72" s="249">
        <v>4064</v>
      </c>
      <c r="D72" s="264"/>
      <c r="E72" s="249">
        <v>4705</v>
      </c>
      <c r="F72" s="264"/>
      <c r="G72" s="249">
        <v>3853</v>
      </c>
      <c r="H72" s="264"/>
      <c r="I72" s="249">
        <v>3900</v>
      </c>
      <c r="J72" s="264" t="s">
        <v>305</v>
      </c>
      <c r="K72" s="249">
        <v>4500</v>
      </c>
      <c r="L72" s="264" t="s">
        <v>305</v>
      </c>
      <c r="M72" s="241"/>
    </row>
    <row r="73" spans="1:13" ht="11.25" customHeight="1">
      <c r="A73" s="250" t="s">
        <v>353</v>
      </c>
      <c r="C73" s="249">
        <v>2511</v>
      </c>
      <c r="D73" s="264"/>
      <c r="E73" s="249">
        <v>2671</v>
      </c>
      <c r="F73" s="264"/>
      <c r="G73" s="249">
        <v>2514</v>
      </c>
      <c r="H73" s="264"/>
      <c r="I73" s="249">
        <v>2500</v>
      </c>
      <c r="J73" s="264" t="s">
        <v>305</v>
      </c>
      <c r="K73" s="249">
        <v>2700</v>
      </c>
      <c r="L73" s="264" t="s">
        <v>305</v>
      </c>
      <c r="M73" s="241"/>
    </row>
    <row r="74" spans="1:13" ht="11.25" customHeight="1">
      <c r="A74" s="250" t="s">
        <v>393</v>
      </c>
      <c r="C74" s="249">
        <v>12938</v>
      </c>
      <c r="D74" s="264" t="s">
        <v>225</v>
      </c>
      <c r="E74" s="249">
        <v>8327</v>
      </c>
      <c r="F74" s="264" t="s">
        <v>225</v>
      </c>
      <c r="G74" s="249">
        <v>9592</v>
      </c>
      <c r="H74" s="264" t="s">
        <v>225</v>
      </c>
      <c r="I74" s="249">
        <v>10065</v>
      </c>
      <c r="J74" s="264" t="s">
        <v>225</v>
      </c>
      <c r="K74" s="249">
        <v>10000</v>
      </c>
      <c r="L74" s="264" t="s">
        <v>305</v>
      </c>
      <c r="M74" s="241"/>
    </row>
    <row r="75" spans="1:13" ht="11.25" customHeight="1">
      <c r="A75" s="250" t="s">
        <v>354</v>
      </c>
      <c r="C75" s="249"/>
      <c r="D75" s="264"/>
      <c r="E75" s="249"/>
      <c r="F75" s="264"/>
      <c r="G75" s="249"/>
      <c r="H75" s="264"/>
      <c r="I75" s="249"/>
      <c r="J75" s="264"/>
      <c r="K75" s="249"/>
      <c r="L75" s="264"/>
      <c r="M75" s="241"/>
    </row>
    <row r="76" spans="1:13" ht="11.25" customHeight="1">
      <c r="A76" s="252" t="s">
        <v>4</v>
      </c>
      <c r="C76" s="249">
        <v>1566</v>
      </c>
      <c r="D76" s="264"/>
      <c r="E76" s="249">
        <v>1096</v>
      </c>
      <c r="F76" s="264"/>
      <c r="G76" s="249">
        <v>1300</v>
      </c>
      <c r="H76" s="264"/>
      <c r="I76" s="249">
        <v>269</v>
      </c>
      <c r="J76" s="264" t="s">
        <v>225</v>
      </c>
      <c r="K76" s="249">
        <v>270</v>
      </c>
      <c r="L76" s="264" t="s">
        <v>305</v>
      </c>
      <c r="M76" s="241"/>
    </row>
    <row r="77" spans="1:13" ht="11.25" customHeight="1">
      <c r="A77" s="252" t="s">
        <v>292</v>
      </c>
      <c r="C77" s="249">
        <v>53</v>
      </c>
      <c r="D77" s="264" t="s">
        <v>305</v>
      </c>
      <c r="E77" s="249">
        <v>34</v>
      </c>
      <c r="F77" s="264"/>
      <c r="G77" s="249">
        <v>34</v>
      </c>
      <c r="H77" s="264" t="s">
        <v>305</v>
      </c>
      <c r="I77" s="249">
        <v>34</v>
      </c>
      <c r="J77" s="264" t="s">
        <v>305</v>
      </c>
      <c r="K77" s="249">
        <v>34</v>
      </c>
      <c r="L77" s="264" t="s">
        <v>305</v>
      </c>
      <c r="M77" s="241"/>
    </row>
    <row r="78" spans="1:13" ht="11.25" customHeight="1">
      <c r="A78" s="250" t="s">
        <v>355</v>
      </c>
      <c r="C78" s="249">
        <v>38</v>
      </c>
      <c r="D78" s="264"/>
      <c r="E78" s="249">
        <v>6</v>
      </c>
      <c r="F78" s="264" t="s">
        <v>225</v>
      </c>
      <c r="G78" s="249">
        <v>6</v>
      </c>
      <c r="H78" s="264" t="s">
        <v>225</v>
      </c>
      <c r="I78" s="249">
        <v>4</v>
      </c>
      <c r="J78" s="264" t="s">
        <v>225</v>
      </c>
      <c r="K78" s="249">
        <v>4</v>
      </c>
      <c r="L78" s="264" t="s">
        <v>305</v>
      </c>
      <c r="M78" s="241"/>
    </row>
    <row r="79" spans="1:13" ht="11.25" customHeight="1">
      <c r="A79" s="250" t="s">
        <v>356</v>
      </c>
      <c r="C79" s="249">
        <v>1358</v>
      </c>
      <c r="D79" s="264"/>
      <c r="E79" s="249">
        <v>1152</v>
      </c>
      <c r="F79" s="264"/>
      <c r="G79" s="249">
        <v>1322</v>
      </c>
      <c r="H79" s="264"/>
      <c r="I79" s="249">
        <v>1300</v>
      </c>
      <c r="J79" s="264" t="s">
        <v>305</v>
      </c>
      <c r="K79" s="249">
        <v>1300</v>
      </c>
      <c r="L79" s="264" t="s">
        <v>305</v>
      </c>
      <c r="M79" s="241"/>
    </row>
    <row r="80" spans="1:13" ht="11.25" customHeight="1">
      <c r="A80" s="250" t="s">
        <v>357</v>
      </c>
      <c r="C80" s="249"/>
      <c r="D80" s="264"/>
      <c r="E80" s="249"/>
      <c r="F80" s="264"/>
      <c r="G80" s="249"/>
      <c r="H80" s="264"/>
      <c r="I80" s="249"/>
      <c r="J80" s="264"/>
      <c r="K80" s="249"/>
      <c r="L80" s="264"/>
      <c r="M80" s="241"/>
    </row>
    <row r="81" spans="1:13" ht="11.25" customHeight="1">
      <c r="A81" s="252" t="s">
        <v>310</v>
      </c>
      <c r="C81" s="249">
        <v>265</v>
      </c>
      <c r="D81" s="264"/>
      <c r="E81" s="249">
        <v>243</v>
      </c>
      <c r="F81" s="264"/>
      <c r="G81" s="249">
        <v>348</v>
      </c>
      <c r="H81" s="264"/>
      <c r="I81" s="249">
        <v>196</v>
      </c>
      <c r="J81" s="264" t="s">
        <v>225</v>
      </c>
      <c r="K81" s="249">
        <v>200</v>
      </c>
      <c r="L81" s="264" t="s">
        <v>305</v>
      </c>
      <c r="M81" s="241"/>
    </row>
    <row r="82" spans="1:13" ht="11.25" customHeight="1">
      <c r="A82" s="252" t="s">
        <v>292</v>
      </c>
      <c r="C82" s="249">
        <v>21</v>
      </c>
      <c r="D82" s="264"/>
      <c r="E82" s="249">
        <v>26</v>
      </c>
      <c r="F82" s="264"/>
      <c r="G82" s="249">
        <v>8</v>
      </c>
      <c r="H82" s="264"/>
      <c r="I82" s="249">
        <v>34</v>
      </c>
      <c r="J82" s="264" t="s">
        <v>225</v>
      </c>
      <c r="K82" s="249">
        <v>34</v>
      </c>
      <c r="L82" s="264" t="s">
        <v>305</v>
      </c>
      <c r="M82" s="241"/>
    </row>
    <row r="83" spans="1:13" ht="11.25" customHeight="1">
      <c r="A83" s="250" t="s">
        <v>358</v>
      </c>
      <c r="C83" s="249">
        <v>683</v>
      </c>
      <c r="D83" s="264"/>
      <c r="E83" s="249">
        <v>693</v>
      </c>
      <c r="F83" s="264"/>
      <c r="G83" s="249">
        <v>593</v>
      </c>
      <c r="H83" s="264" t="s">
        <v>359</v>
      </c>
      <c r="I83" s="249">
        <v>540</v>
      </c>
      <c r="J83" s="264" t="s">
        <v>359</v>
      </c>
      <c r="K83" s="249">
        <v>646</v>
      </c>
      <c r="L83" s="264"/>
      <c r="M83" s="241"/>
    </row>
    <row r="84" spans="1:13" ht="11.25" customHeight="1">
      <c r="A84" s="250" t="s">
        <v>360</v>
      </c>
      <c r="C84" s="249"/>
      <c r="D84" s="264"/>
      <c r="E84" s="249"/>
      <c r="F84" s="264"/>
      <c r="G84" s="249"/>
      <c r="H84" s="264"/>
      <c r="I84" s="249"/>
      <c r="J84" s="264"/>
      <c r="K84" s="249"/>
      <c r="L84" s="264"/>
      <c r="M84" s="241"/>
    </row>
    <row r="85" spans="1:13" ht="11.25" customHeight="1">
      <c r="A85" s="252" t="s">
        <v>324</v>
      </c>
      <c r="C85" s="249">
        <v>68</v>
      </c>
      <c r="D85" s="264"/>
      <c r="E85" s="249">
        <v>44</v>
      </c>
      <c r="F85" s="264"/>
      <c r="G85" s="249">
        <v>41</v>
      </c>
      <c r="H85" s="264"/>
      <c r="I85" s="249">
        <v>38</v>
      </c>
      <c r="J85" s="264" t="s">
        <v>225</v>
      </c>
      <c r="K85" s="249">
        <v>35</v>
      </c>
      <c r="L85" s="264"/>
      <c r="M85" s="241"/>
    </row>
    <row r="86" spans="1:13" ht="11.25" customHeight="1">
      <c r="A86" s="252" t="s">
        <v>317</v>
      </c>
      <c r="C86" s="249">
        <v>435</v>
      </c>
      <c r="D86" s="264"/>
      <c r="E86" s="249">
        <v>402</v>
      </c>
      <c r="F86" s="264"/>
      <c r="G86" s="249">
        <v>414</v>
      </c>
      <c r="H86" s="264"/>
      <c r="I86" s="249">
        <v>584</v>
      </c>
      <c r="J86" s="264" t="s">
        <v>225</v>
      </c>
      <c r="K86" s="249">
        <v>691</v>
      </c>
      <c r="L86" s="264"/>
      <c r="M86" s="241"/>
    </row>
    <row r="87" spans="1:13" ht="11.25" customHeight="1">
      <c r="A87" s="250" t="s">
        <v>361</v>
      </c>
      <c r="C87" s="249">
        <v>1220</v>
      </c>
      <c r="D87" s="264"/>
      <c r="E87" s="249">
        <v>1225</v>
      </c>
      <c r="F87" s="264"/>
      <c r="G87" s="249">
        <v>660</v>
      </c>
      <c r="H87" s="264"/>
      <c r="I87" s="249">
        <v>908</v>
      </c>
      <c r="J87" s="264"/>
      <c r="K87" s="249">
        <v>1000</v>
      </c>
      <c r="L87" s="264" t="s">
        <v>305</v>
      </c>
      <c r="M87" s="241"/>
    </row>
    <row r="88" spans="1:13" ht="11.25" customHeight="1">
      <c r="A88" s="250" t="s">
        <v>362</v>
      </c>
      <c r="C88" s="249"/>
      <c r="D88" s="264"/>
      <c r="E88" s="249"/>
      <c r="F88" s="264"/>
      <c r="G88" s="249"/>
      <c r="H88" s="264"/>
      <c r="I88" s="249"/>
      <c r="J88" s="264"/>
      <c r="K88" s="249"/>
      <c r="L88" s="264"/>
      <c r="M88" s="241"/>
    </row>
    <row r="89" spans="1:13" ht="11.25" customHeight="1">
      <c r="A89" s="252" t="s">
        <v>363</v>
      </c>
      <c r="C89" s="249">
        <v>1030</v>
      </c>
      <c r="D89" s="264"/>
      <c r="E89" s="249">
        <v>1030</v>
      </c>
      <c r="F89" s="264"/>
      <c r="G89" s="249">
        <v>1030</v>
      </c>
      <c r="H89" s="264"/>
      <c r="I89" s="249">
        <v>1030</v>
      </c>
      <c r="J89" s="264" t="s">
        <v>225</v>
      </c>
      <c r="K89" s="249">
        <v>1030</v>
      </c>
      <c r="L89" s="264"/>
      <c r="M89" s="241"/>
    </row>
    <row r="90" spans="1:13" ht="11.25" customHeight="1">
      <c r="A90" s="252" t="s">
        <v>323</v>
      </c>
      <c r="C90" s="249">
        <v>2435</v>
      </c>
      <c r="D90" s="264"/>
      <c r="E90" s="249">
        <v>2854</v>
      </c>
      <c r="F90" s="264"/>
      <c r="G90" s="249">
        <v>2563</v>
      </c>
      <c r="H90" s="264"/>
      <c r="I90" s="249">
        <v>2823</v>
      </c>
      <c r="J90" s="264" t="s">
        <v>225</v>
      </c>
      <c r="K90" s="249">
        <v>2800</v>
      </c>
      <c r="L90" s="264" t="s">
        <v>305</v>
      </c>
      <c r="M90" s="241"/>
    </row>
    <row r="91" spans="1:13" ht="11.25" customHeight="1">
      <c r="A91" s="252" t="s">
        <v>364</v>
      </c>
      <c r="C91" s="249">
        <v>1512</v>
      </c>
      <c r="D91" s="264"/>
      <c r="E91" s="249">
        <v>1480</v>
      </c>
      <c r="F91" s="264"/>
      <c r="G91" s="249">
        <v>1527</v>
      </c>
      <c r="H91" s="264"/>
      <c r="I91" s="249">
        <v>1574</v>
      </c>
      <c r="J91" s="264" t="s">
        <v>225</v>
      </c>
      <c r="K91" s="249">
        <v>1600</v>
      </c>
      <c r="L91" s="264" t="s">
        <v>305</v>
      </c>
      <c r="M91" s="241"/>
    </row>
    <row r="92" spans="1:13" ht="11.25" customHeight="1">
      <c r="A92" s="252" t="s">
        <v>348</v>
      </c>
      <c r="C92" s="249">
        <v>138</v>
      </c>
      <c r="D92" s="264"/>
      <c r="E92" s="249">
        <v>94</v>
      </c>
      <c r="F92" s="264"/>
      <c r="G92" s="249">
        <v>78</v>
      </c>
      <c r="H92" s="264"/>
      <c r="I92" s="249">
        <v>136</v>
      </c>
      <c r="J92" s="264" t="s">
        <v>225</v>
      </c>
      <c r="K92" s="249">
        <v>140</v>
      </c>
      <c r="L92" s="264" t="s">
        <v>305</v>
      </c>
      <c r="M92" s="241"/>
    </row>
    <row r="93" spans="1:13" ht="11.25" customHeight="1">
      <c r="A93" s="250" t="s">
        <v>365</v>
      </c>
      <c r="C93" s="249"/>
      <c r="D93" s="264"/>
      <c r="E93" s="249"/>
      <c r="F93" s="264"/>
      <c r="G93" s="249"/>
      <c r="H93" s="264"/>
      <c r="I93" s="249"/>
      <c r="J93" s="264"/>
      <c r="K93" s="249"/>
      <c r="L93" s="264"/>
      <c r="M93" s="241"/>
    </row>
    <row r="94" spans="1:13" ht="11.25" customHeight="1">
      <c r="A94" s="252" t="s">
        <v>310</v>
      </c>
      <c r="C94" s="249">
        <v>190</v>
      </c>
      <c r="D94" s="264"/>
      <c r="E94" s="249">
        <v>181</v>
      </c>
      <c r="F94" s="264"/>
      <c r="G94" s="249">
        <v>184</v>
      </c>
      <c r="H94" s="264"/>
      <c r="I94" s="249">
        <v>200</v>
      </c>
      <c r="J94" s="264" t="s">
        <v>225</v>
      </c>
      <c r="K94" s="249">
        <v>200</v>
      </c>
      <c r="L94" s="264" t="s">
        <v>305</v>
      </c>
      <c r="M94" s="241"/>
    </row>
    <row r="95" spans="1:13" ht="11.25" customHeight="1">
      <c r="A95" s="252" t="s">
        <v>348</v>
      </c>
      <c r="C95" s="249">
        <v>25</v>
      </c>
      <c r="D95" s="264"/>
      <c r="E95" s="249">
        <v>25</v>
      </c>
      <c r="F95" s="264"/>
      <c r="G95" s="249">
        <v>21</v>
      </c>
      <c r="H95" s="264"/>
      <c r="I95" s="253" t="s">
        <v>47</v>
      </c>
      <c r="J95" s="264" t="s">
        <v>225</v>
      </c>
      <c r="K95" s="249">
        <v>25</v>
      </c>
      <c r="L95" s="264" t="s">
        <v>305</v>
      </c>
      <c r="M95" s="241"/>
    </row>
    <row r="96" spans="1:13" ht="11.25" customHeight="1">
      <c r="A96" s="250" t="s">
        <v>366</v>
      </c>
      <c r="C96" s="249">
        <v>515</v>
      </c>
      <c r="D96" s="264"/>
      <c r="E96" s="249">
        <v>534</v>
      </c>
      <c r="F96" s="264"/>
      <c r="G96" s="249">
        <v>625</v>
      </c>
      <c r="H96" s="264"/>
      <c r="I96" s="249">
        <v>947</v>
      </c>
      <c r="J96" s="264" t="s">
        <v>225</v>
      </c>
      <c r="K96" s="249">
        <v>950</v>
      </c>
      <c r="L96" s="264" t="s">
        <v>305</v>
      </c>
      <c r="M96" s="241"/>
    </row>
    <row r="97" spans="1:13" ht="11.25" customHeight="1">
      <c r="A97" s="250" t="s">
        <v>367</v>
      </c>
      <c r="C97" s="249">
        <v>6165</v>
      </c>
      <c r="D97" s="264"/>
      <c r="E97" s="249">
        <v>7409</v>
      </c>
      <c r="F97" s="264"/>
      <c r="G97" s="249">
        <v>7321</v>
      </c>
      <c r="H97" s="264"/>
      <c r="I97" s="249">
        <v>7300</v>
      </c>
      <c r="J97" s="264" t="s">
        <v>305</v>
      </c>
      <c r="K97" s="249">
        <v>7300</v>
      </c>
      <c r="L97" s="264" t="s">
        <v>305</v>
      </c>
      <c r="M97" s="241"/>
    </row>
    <row r="98" spans="1:13" ht="11.25" customHeight="1">
      <c r="A98" s="250" t="s">
        <v>368</v>
      </c>
      <c r="C98" s="249">
        <v>1433</v>
      </c>
      <c r="D98" s="264"/>
      <c r="E98" s="249">
        <v>1505</v>
      </c>
      <c r="F98" s="264"/>
      <c r="G98" s="249">
        <v>1380</v>
      </c>
      <c r="H98" s="264" t="s">
        <v>225</v>
      </c>
      <c r="I98" s="249">
        <v>1449</v>
      </c>
      <c r="J98" s="264" t="s">
        <v>225</v>
      </c>
      <c r="K98" s="249">
        <v>1500</v>
      </c>
      <c r="L98" s="264" t="s">
        <v>305</v>
      </c>
      <c r="M98" s="241"/>
    </row>
    <row r="99" spans="1:13" ht="11.25" customHeight="1">
      <c r="A99" s="250" t="s">
        <v>369</v>
      </c>
      <c r="C99" s="249">
        <v>300</v>
      </c>
      <c r="D99" s="264" t="s">
        <v>305</v>
      </c>
      <c r="E99" s="249">
        <v>300</v>
      </c>
      <c r="F99" s="264" t="s">
        <v>305</v>
      </c>
      <c r="G99" s="249">
        <v>306</v>
      </c>
      <c r="H99" s="264"/>
      <c r="I99" s="249">
        <v>333</v>
      </c>
      <c r="J99" s="264" t="s">
        <v>225</v>
      </c>
      <c r="K99" s="249">
        <v>330</v>
      </c>
      <c r="L99" s="264" t="s">
        <v>305</v>
      </c>
      <c r="M99" s="241"/>
    </row>
    <row r="100" spans="1:13" ht="11.25" customHeight="1">
      <c r="A100" s="250" t="s">
        <v>370</v>
      </c>
      <c r="C100" s="249">
        <v>419</v>
      </c>
      <c r="D100" s="264"/>
      <c r="E100" s="249">
        <v>540</v>
      </c>
      <c r="F100" s="264"/>
      <c r="G100" s="249">
        <v>446</v>
      </c>
      <c r="H100" s="264"/>
      <c r="I100" s="249">
        <v>377</v>
      </c>
      <c r="J100" s="264" t="s">
        <v>225</v>
      </c>
      <c r="K100" s="249">
        <v>380</v>
      </c>
      <c r="L100" s="264" t="s">
        <v>305</v>
      </c>
      <c r="M100" s="241"/>
    </row>
    <row r="101" spans="1:13" ht="11.25" customHeight="1">
      <c r="A101" s="250" t="s">
        <v>371</v>
      </c>
      <c r="C101" s="249">
        <v>344</v>
      </c>
      <c r="D101" s="264"/>
      <c r="E101" s="249">
        <v>312</v>
      </c>
      <c r="F101" s="264"/>
      <c r="G101" s="249">
        <v>325</v>
      </c>
      <c r="H101" s="264"/>
      <c r="I101" s="249">
        <v>371</v>
      </c>
      <c r="J101" s="264" t="s">
        <v>225</v>
      </c>
      <c r="K101" s="249">
        <v>370</v>
      </c>
      <c r="L101" s="264" t="s">
        <v>305</v>
      </c>
      <c r="M101" s="241"/>
    </row>
    <row r="102" spans="1:13" ht="11.25" customHeight="1">
      <c r="A102" s="250" t="s">
        <v>372</v>
      </c>
      <c r="C102" s="249">
        <v>2288</v>
      </c>
      <c r="D102" s="264"/>
      <c r="E102" s="249">
        <v>2269</v>
      </c>
      <c r="F102" s="264"/>
      <c r="G102" s="249">
        <v>2116</v>
      </c>
      <c r="H102" s="264" t="s">
        <v>225</v>
      </c>
      <c r="I102" s="249">
        <v>2074</v>
      </c>
      <c r="J102" s="264" t="s">
        <v>225</v>
      </c>
      <c r="K102" s="249">
        <v>1864</v>
      </c>
      <c r="L102" s="264"/>
      <c r="M102" s="241"/>
    </row>
    <row r="103" spans="1:13" ht="11.25" customHeight="1">
      <c r="A103" s="250" t="s">
        <v>373</v>
      </c>
      <c r="C103" s="249"/>
      <c r="D103" s="264"/>
      <c r="E103" s="249"/>
      <c r="F103" s="264"/>
      <c r="G103" s="249"/>
      <c r="H103" s="264"/>
      <c r="I103" s="249"/>
      <c r="J103" s="264"/>
      <c r="K103" s="249"/>
      <c r="L103" s="264"/>
      <c r="M103" s="241"/>
    </row>
    <row r="104" spans="1:13" ht="11.25" customHeight="1">
      <c r="A104" s="252" t="s">
        <v>310</v>
      </c>
      <c r="C104" s="249">
        <v>1041</v>
      </c>
      <c r="D104" s="264"/>
      <c r="E104" s="249">
        <v>1025</v>
      </c>
      <c r="F104" s="264"/>
      <c r="G104" s="249">
        <v>1118</v>
      </c>
      <c r="H104" s="264"/>
      <c r="I104" s="249">
        <v>1191</v>
      </c>
      <c r="J104" s="264" t="s">
        <v>225</v>
      </c>
      <c r="K104" s="249">
        <v>1200</v>
      </c>
      <c r="L104" s="264" t="s">
        <v>305</v>
      </c>
      <c r="M104" s="241"/>
    </row>
    <row r="105" spans="1:13" ht="11.25" customHeight="1">
      <c r="A105" s="252" t="s">
        <v>348</v>
      </c>
      <c r="C105" s="249">
        <v>897</v>
      </c>
      <c r="D105" s="264"/>
      <c r="E105" s="249">
        <v>748</v>
      </c>
      <c r="F105" s="264"/>
      <c r="G105" s="249">
        <v>833</v>
      </c>
      <c r="H105" s="264"/>
      <c r="I105" s="249">
        <v>644</v>
      </c>
      <c r="J105" s="264" t="s">
        <v>225</v>
      </c>
      <c r="K105" s="249">
        <v>640</v>
      </c>
      <c r="L105" s="264" t="s">
        <v>305</v>
      </c>
      <c r="M105" s="241"/>
    </row>
    <row r="106" spans="1:13" ht="11.25" customHeight="1">
      <c r="A106" s="252" t="s">
        <v>374</v>
      </c>
      <c r="C106" s="249">
        <v>57</v>
      </c>
      <c r="D106" s="264"/>
      <c r="E106" s="249">
        <v>57</v>
      </c>
      <c r="F106" s="264"/>
      <c r="G106" s="249">
        <v>59</v>
      </c>
      <c r="H106" s="264"/>
      <c r="I106" s="249">
        <v>56</v>
      </c>
      <c r="J106" s="264" t="s">
        <v>225</v>
      </c>
      <c r="K106" s="249">
        <v>56</v>
      </c>
      <c r="L106" s="264"/>
      <c r="M106" s="241"/>
    </row>
    <row r="107" spans="1:13" ht="11.25" customHeight="1">
      <c r="A107" s="252" t="s">
        <v>292</v>
      </c>
      <c r="C107" s="249">
        <v>4819</v>
      </c>
      <c r="D107" s="264"/>
      <c r="E107" s="249">
        <v>3897</v>
      </c>
      <c r="F107" s="264"/>
      <c r="G107" s="249">
        <v>3995</v>
      </c>
      <c r="H107" s="264"/>
      <c r="I107" s="249">
        <v>4726</v>
      </c>
      <c r="J107" s="264" t="s">
        <v>225</v>
      </c>
      <c r="K107" s="249">
        <v>4700</v>
      </c>
      <c r="L107" s="264" t="s">
        <v>305</v>
      </c>
      <c r="M107" s="241"/>
    </row>
    <row r="108" spans="1:13" ht="11.25" customHeight="1">
      <c r="A108" s="250" t="s">
        <v>375</v>
      </c>
      <c r="C108" s="249">
        <v>41</v>
      </c>
      <c r="D108" s="264" t="s">
        <v>305</v>
      </c>
      <c r="E108" s="249">
        <v>32</v>
      </c>
      <c r="F108" s="264"/>
      <c r="G108" s="249">
        <v>41</v>
      </c>
      <c r="H108" s="264" t="s">
        <v>305</v>
      </c>
      <c r="I108" s="249">
        <v>41</v>
      </c>
      <c r="J108" s="264" t="s">
        <v>305</v>
      </c>
      <c r="K108" s="249">
        <v>41</v>
      </c>
      <c r="L108" s="264" t="s">
        <v>305</v>
      </c>
      <c r="M108" s="241"/>
    </row>
    <row r="109" spans="1:13" ht="11.25" customHeight="1">
      <c r="A109" s="250" t="s">
        <v>376</v>
      </c>
      <c r="C109" s="249">
        <v>58</v>
      </c>
      <c r="D109" s="264"/>
      <c r="E109" s="249">
        <v>70</v>
      </c>
      <c r="F109" s="264"/>
      <c r="G109" s="249">
        <v>142</v>
      </c>
      <c r="H109" s="264"/>
      <c r="I109" s="249">
        <v>57</v>
      </c>
      <c r="J109" s="264"/>
      <c r="K109" s="249">
        <v>47</v>
      </c>
      <c r="L109" s="264"/>
      <c r="M109" s="241"/>
    </row>
    <row r="110" spans="1:13" ht="11.25" customHeight="1">
      <c r="A110" s="250" t="s">
        <v>377</v>
      </c>
      <c r="C110" s="249">
        <v>1557</v>
      </c>
      <c r="D110" s="264"/>
      <c r="E110" s="249">
        <v>1248</v>
      </c>
      <c r="F110" s="264"/>
      <c r="G110" s="249">
        <v>1253</v>
      </c>
      <c r="H110" s="264" t="s">
        <v>225</v>
      </c>
      <c r="I110" s="249">
        <v>1323</v>
      </c>
      <c r="J110" s="264" t="s">
        <v>225</v>
      </c>
      <c r="K110" s="249">
        <v>1300</v>
      </c>
      <c r="L110" s="264" t="s">
        <v>305</v>
      </c>
      <c r="M110" s="241"/>
    </row>
    <row r="111" spans="1:13" ht="11.25" customHeight="1">
      <c r="A111" s="250" t="s">
        <v>378</v>
      </c>
      <c r="C111" s="249"/>
      <c r="D111" s="264"/>
      <c r="E111" s="249"/>
      <c r="F111" s="264"/>
      <c r="G111" s="249"/>
      <c r="H111" s="264"/>
      <c r="I111" s="249"/>
      <c r="J111" s="264"/>
      <c r="K111" s="249"/>
      <c r="L111" s="264"/>
      <c r="M111" s="241"/>
    </row>
    <row r="112" spans="1:13" ht="11.25" customHeight="1">
      <c r="A112" s="252" t="s">
        <v>310</v>
      </c>
      <c r="C112" s="249">
        <v>1525</v>
      </c>
      <c r="D112" s="264"/>
      <c r="E112" s="249">
        <v>1899</v>
      </c>
      <c r="F112" s="264"/>
      <c r="G112" s="249">
        <v>2150</v>
      </c>
      <c r="H112" s="264" t="s">
        <v>225</v>
      </c>
      <c r="I112" s="249">
        <v>1537</v>
      </c>
      <c r="J112" s="264"/>
      <c r="K112" s="249">
        <v>1932</v>
      </c>
      <c r="L112" s="264"/>
      <c r="M112" s="241"/>
    </row>
    <row r="113" spans="1:14" ht="11.25" customHeight="1">
      <c r="A113" s="252" t="s">
        <v>317</v>
      </c>
      <c r="C113" s="249">
        <v>81</v>
      </c>
      <c r="D113" s="264"/>
      <c r="E113" s="249">
        <v>2</v>
      </c>
      <c r="F113" s="264"/>
      <c r="G113" s="249">
        <v>10</v>
      </c>
      <c r="H113" s="264"/>
      <c r="I113" s="253" t="s">
        <v>47</v>
      </c>
      <c r="J113" s="264"/>
      <c r="K113" s="253" t="s">
        <v>47</v>
      </c>
      <c r="L113" s="264"/>
      <c r="M113" s="241"/>
    </row>
    <row r="114" spans="1:14" ht="11.25" customHeight="1">
      <c r="A114" s="252" t="s">
        <v>292</v>
      </c>
      <c r="C114" s="249">
        <v>10035</v>
      </c>
      <c r="D114" s="264"/>
      <c r="E114" s="249">
        <v>8396</v>
      </c>
      <c r="F114" s="264"/>
      <c r="G114" s="249">
        <v>9771</v>
      </c>
      <c r="H114" s="264" t="s">
        <v>225</v>
      </c>
      <c r="I114" s="249">
        <v>9700</v>
      </c>
      <c r="J114" s="264"/>
      <c r="K114" s="249">
        <v>12596</v>
      </c>
      <c r="L114" s="264"/>
      <c r="M114" s="241"/>
    </row>
    <row r="115" spans="1:14" ht="11.25" customHeight="1">
      <c r="A115" s="250" t="s">
        <v>379</v>
      </c>
      <c r="C115" s="249">
        <v>4890</v>
      </c>
      <c r="D115" s="264"/>
      <c r="E115" s="249">
        <v>5136</v>
      </c>
      <c r="F115" s="264"/>
      <c r="G115" s="249">
        <v>5337</v>
      </c>
      <c r="H115" s="264" t="s">
        <v>225</v>
      </c>
      <c r="I115" s="249">
        <v>4245</v>
      </c>
      <c r="J115" s="264" t="s">
        <v>225</v>
      </c>
      <c r="K115" s="249">
        <v>4200</v>
      </c>
      <c r="L115" s="264" t="s">
        <v>305</v>
      </c>
      <c r="M115" s="241"/>
    </row>
    <row r="116" spans="1:14" ht="11.25" customHeight="1">
      <c r="A116" s="250" t="s">
        <v>380</v>
      </c>
      <c r="C116" s="249">
        <v>126000</v>
      </c>
      <c r="D116" s="264"/>
      <c r="E116" s="249">
        <v>108000</v>
      </c>
      <c r="F116" s="264"/>
      <c r="G116" s="249">
        <v>75800</v>
      </c>
      <c r="H116" s="264"/>
      <c r="I116" s="249">
        <v>91200</v>
      </c>
      <c r="J116" s="264" t="s">
        <v>225</v>
      </c>
      <c r="K116" s="249">
        <v>114000</v>
      </c>
      <c r="L116" s="264"/>
      <c r="M116" s="241"/>
    </row>
    <row r="117" spans="1:14" ht="11.25" customHeight="1">
      <c r="A117" s="250" t="s">
        <v>381</v>
      </c>
      <c r="C117" s="249">
        <v>7</v>
      </c>
      <c r="D117" s="264"/>
      <c r="E117" s="249">
        <v>7</v>
      </c>
      <c r="F117" s="264"/>
      <c r="G117" s="249">
        <v>7</v>
      </c>
      <c r="H117" s="264"/>
      <c r="I117" s="249">
        <v>7</v>
      </c>
      <c r="J117" s="264"/>
      <c r="K117" s="249">
        <v>7</v>
      </c>
      <c r="L117" s="264"/>
      <c r="M117" s="241"/>
    </row>
    <row r="118" spans="1:14" ht="11.25" customHeight="1">
      <c r="A118" s="252" t="s">
        <v>6</v>
      </c>
      <c r="C118" s="254">
        <v>357000</v>
      </c>
      <c r="D118" s="246" t="s">
        <v>225</v>
      </c>
      <c r="E118" s="254">
        <v>341000</v>
      </c>
      <c r="F118" s="246" t="s">
        <v>225</v>
      </c>
      <c r="G118" s="254">
        <v>306000</v>
      </c>
      <c r="H118" s="246" t="s">
        <v>225</v>
      </c>
      <c r="I118" s="254">
        <v>329000</v>
      </c>
      <c r="J118" s="246" t="s">
        <v>225</v>
      </c>
      <c r="K118" s="254">
        <v>359000</v>
      </c>
      <c r="L118" s="246"/>
      <c r="M118" s="241"/>
    </row>
    <row r="119" spans="1:14" ht="11.25" customHeight="1">
      <c r="A119" s="323" t="s">
        <v>382</v>
      </c>
      <c r="B119" s="323"/>
      <c r="C119" s="323"/>
      <c r="D119" s="323"/>
      <c r="E119" s="323"/>
      <c r="F119" s="323"/>
      <c r="G119" s="323"/>
      <c r="H119" s="323"/>
      <c r="I119" s="323"/>
      <c r="J119" s="323"/>
      <c r="K119" s="323"/>
      <c r="L119" s="323"/>
      <c r="M119" s="255"/>
      <c r="N119" s="255"/>
    </row>
    <row r="120" spans="1:14" ht="22.5" customHeight="1">
      <c r="A120" s="318" t="s">
        <v>395</v>
      </c>
      <c r="B120" s="318"/>
      <c r="C120" s="318"/>
      <c r="D120" s="318"/>
      <c r="E120" s="318"/>
      <c r="F120" s="318"/>
      <c r="G120" s="318"/>
      <c r="H120" s="318"/>
      <c r="I120" s="318"/>
      <c r="J120" s="318"/>
      <c r="K120" s="318"/>
      <c r="L120" s="318"/>
      <c r="M120" s="255"/>
      <c r="N120" s="255"/>
    </row>
    <row r="121" spans="1:14" ht="22.5" customHeight="1">
      <c r="A121" s="318" t="s">
        <v>383</v>
      </c>
      <c r="B121" s="318"/>
      <c r="C121" s="318"/>
      <c r="D121" s="318"/>
      <c r="E121" s="318"/>
      <c r="F121" s="318"/>
      <c r="G121" s="318"/>
      <c r="H121" s="318"/>
      <c r="I121" s="318"/>
      <c r="J121" s="318"/>
      <c r="K121" s="318"/>
      <c r="L121" s="318"/>
      <c r="M121" s="255"/>
      <c r="N121" s="255"/>
    </row>
    <row r="122" spans="1:14" ht="11.25" customHeight="1">
      <c r="A122" s="319" t="s">
        <v>384</v>
      </c>
      <c r="B122" s="319"/>
      <c r="C122" s="319"/>
      <c r="D122" s="319"/>
      <c r="E122" s="319"/>
      <c r="F122" s="319"/>
      <c r="G122" s="319"/>
      <c r="H122" s="319"/>
      <c r="I122" s="319"/>
      <c r="J122" s="319"/>
      <c r="K122" s="319"/>
      <c r="L122" s="319"/>
      <c r="M122" s="255"/>
      <c r="N122" s="255"/>
    </row>
  </sheetData>
  <mergeCells count="9">
    <mergeCell ref="A120:L120"/>
    <mergeCell ref="A121:L121"/>
    <mergeCell ref="A122:L122"/>
    <mergeCell ref="A1:L1"/>
    <mergeCell ref="A2:L2"/>
    <mergeCell ref="A3:L3"/>
    <mergeCell ref="A4:L4"/>
    <mergeCell ref="A5:L5"/>
    <mergeCell ref="A119:L119"/>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Note</vt:lpstr>
      <vt:lpstr>T1</vt:lpstr>
      <vt:lpstr>T2</vt:lpstr>
      <vt:lpstr>T3</vt:lpstr>
      <vt:lpstr>T4</vt:lpstr>
      <vt:lpstr>T5</vt:lpstr>
      <vt:lpstr>T6A</vt:lpstr>
      <vt:lpstr>T6B</vt:lpstr>
      <vt:lpstr>T7</vt:lpstr>
      <vt:lpstr>T8</vt:lpstr>
      <vt:lpstr>T9</vt:lpstr>
      <vt:lpstr>T10</vt:lpstr>
      <vt:lpstr>T11</vt:lpstr>
      <vt:lpstr>T12</vt:lpstr>
      <vt:lpstr>'T10'!Print_Area</vt:lpstr>
      <vt:lpstr>'T11'!Print_Area</vt:lpstr>
      <vt:lpstr>'T3'!Print_Area</vt:lpstr>
      <vt:lpstr>'T4'!Print_Area</vt:lpstr>
      <vt:lpstr>'T7'!Print_Area</vt:lpstr>
      <vt:lpstr>'T8'!Print_Area</vt:lpstr>
      <vt:lpstr>'T9'!Print_Area</vt:lpstr>
      <vt:lpstr>'T10'!Print_Titles</vt:lpstr>
      <vt:lpstr>T6A!Print_Titles</vt:lpstr>
      <vt:lpstr>T6B!Print_Titles</vt:lpstr>
      <vt:lpstr>'T8'!Print_Titles</vt:lpstr>
    </vt:vector>
  </TitlesOfParts>
  <Company>DOI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Silica in 2022</dc:title>
  <dc:subject>USGS Mineral Industry Surveys</dc:subject>
  <dc:creator>USGS National Minerals Information Center</dc:creator>
  <cp:keywords>Silica, Statistics</cp:keywords>
  <cp:lastModifiedBy>Hakim, Samir</cp:lastModifiedBy>
  <cp:lastPrinted>2023-08-24T14:04:43Z</cp:lastPrinted>
  <dcterms:created xsi:type="dcterms:W3CDTF">2007-11-28T17:51:36Z</dcterms:created>
  <dcterms:modified xsi:type="dcterms:W3CDTF">2023-08-31T16:15:42Z</dcterms:modified>
</cp:coreProperties>
</file>